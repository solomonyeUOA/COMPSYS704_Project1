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856f9742b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5e34eba9fa744e3"/>
    <x:sheet xmlns:r="http://schemas.openxmlformats.org/officeDocument/2006/relationships" name="Cross-Team Signals" sheetId="2" r:id="R5f2f5070d8754da3"/>
    <x:sheet xmlns:r="http://schemas.openxmlformats.org/officeDocument/2006/relationships" name="M3 Internal Signals" sheetId="3" r:id="Ra45f7edd93c14a0a"/>
    <x:sheet xmlns:r="http://schemas.openxmlformats.org/officeDocument/2006/relationships" name="Status Codes" sheetId="4" r:id="R6b388b6de2224dc5"/>
    <x:sheet xmlns:r="http://schemas.openxmlformats.org/officeDocument/2006/relationships" name="Integration Checklist" sheetId="5" r:id="R780ac2bd46ef47bf"/>
    <x:sheet xmlns:r="http://schemas.openxmlformats.org/officeDocument/2006/relationships" name="Test Evidence" sheetId="6" r:id="R2d7286f96217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2"/>
      <x:color rgb="FF185B37"/>
      <x:name val="Carlito"/>
    </x:font>
    <x:font>
      <x:b/>
      <x:sz val="11"/>
      <x:color rgb="FF5E4600"/>
      <x:name val="Carlito"/>
    </x:font>
    <x:font>
      <x:b/>
      <x:sz val="12"/>
      <x:color rgb="FF1632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D6F75"/>
      </x:patternFill>
    </x:fill>
    <x:fill>
      <x:patternFill patternType="solid">
        <x:fgColor rgb="FFDCEAF7"/>
      </x:patternFill>
    </x:fill>
    <x:fill>
      <x:patternFill patternType="solid">
        <x:fgColor rgb="FF17212B"/>
      </x:patternFill>
    </x:fill>
    <x:fill>
      <x:patternFill patternType="solid">
        <x:fgColor rgb="FFDCEFE4"/>
      </x:patternFill>
    </x:fill>
    <x:fill>
      <x:patternFill patternType="solid">
        <x:fgColor rgb="FFFFF0C2"/>
      </x:patternFill>
    </x:fill>
  </x:fills>
  <x:borders count="5">
    <x:border/>
    <x:border>
      <x:bottom style="medium">
        <x:color rgb="FF1D6F75"/>
      </x:bottom>
    </x:border>
    <x:border>
      <x:bottom style="thin">
        <x:color rgb="FFC9D2DA"/>
      </x:bottom>
    </x:border>
    <x:border>
      <x:top style="thin">
        <x:color rgb="FFC9D2DA"/>
      </x:top>
      <x:bottom style="thin">
        <x:color rgb="FFC9D2DA"/>
      </x:bottom>
    </x:border>
    <x:border>
      <x:top style="thin">
        <x:color rgb="FFC9D2D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horizontal="center" vertical="top" wrapText="1"/>
    </x:xf>
    <x:xf numFmtId="0" fontId="6" fillId="6" borderId="3" xfId="0" applyNumberFormat="1" applyFont="1" applyFill="1" applyBorder="1" applyAlignment="1">
      <x:alignment horizontal="center"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horizontal="center"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5">
    <x:dxf>
      <x:font>
        <x:b/>
        <x:color rgb="FF16324F"/>
      </x:font>
      <x:fill>
        <x:patternFill patternType="solid">
          <x:bgColor rgb="FFDCEAF7"/>
        </x:patternFill>
      </x:fill>
    </x:dxf>
    <x:dxf>
      <x:font>
        <x:b/>
        <x:color rgb="FF185B37"/>
      </x:font>
      <x:fill>
        <x:patternFill patternType="solid">
          <x:bgColor rgb="FFDCEFE4"/>
        </x:patternFill>
      </x:fill>
    </x:dxf>
    <x:dxf>
      <x:font>
        <x:b/>
        <x:color rgb="FF765500"/>
      </x:font>
      <x:fill>
        <x:patternFill patternType="solid">
          <x:bgColor rgb="FFFFF0C2"/>
        </x:patternFill>
      </x:fill>
    </x:dxf>
    <x:dxf>
      <x:font>
        <x:b/>
        <x:color rgb="FF17212B"/>
      </x:font>
      <x:fill>
        <x:patternFill patternType="solid">
          <x:bgColor rgb="FFE9EDF1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16324F"/>
      </x:font>
      <x:fill>
        <x:patternFill patternType="solid">
          <x:bgColor rgb="FFDCEAF7"/>
        </x:patternFill>
      </x:fill>
    </x:dxf>
    <x:dxf>
      <x:font>
        <x:b/>
        <x:color rgb="FF185B37"/>
      </x:font>
      <x:fill>
        <x:patternFill patternType="solid">
          <x:bgColor rgb="FFDCEFE4"/>
        </x:patternFill>
      </x:fill>
    </x:dxf>
    <x:dxf>
      <x:font>
        <x:b/>
        <x:color rgb="FF765500"/>
      </x:font>
      <x:fill>
        <x:patternFill patternType="solid">
          <x:bgColor rgb="FFFFF0C2"/>
        </x:patternFill>
      </x:fill>
    </x:dxf>
    <x:dxf>
      <x:font>
        <x:b/>
        <x:color rgb="FF17212B"/>
      </x:font>
      <x:fill>
        <x:patternFill patternType="solid">
          <x:bgColor rgb="FFE9EDF1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16324F"/>
      </x:font>
      <x:fill>
        <x:patternFill patternType="solid">
          <x:bgColor rgb="FFDCEAF7"/>
        </x:patternFill>
      </x:fill>
    </x:dxf>
    <x:dxf>
      <x:font>
        <x:b/>
        <x:color rgb="FF185B37"/>
      </x:font>
      <x:fill>
        <x:patternFill patternType="solid">
          <x:bgColor rgb="FFDCEFE4"/>
        </x:patternFill>
      </x:fill>
    </x:dxf>
    <x:dxf>
      <x:font>
        <x:b/>
        <x:color rgb="FF765500"/>
      </x:font>
      <x:fill>
        <x:patternFill patternType="solid">
          <x:bgColor rgb="FFFFF0C2"/>
        </x:patternFill>
      </x:fill>
    </x:dxf>
    <x:dxf>
      <x:font>
        <x:b/>
        <x:color rgb="FF17212B"/>
      </x:font>
      <x:fill>
        <x:patternFill patternType="solid">
          <x:bgColor rgb="FFE9EDF1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16324F"/>
      </x:font>
      <x:fill>
        <x:patternFill patternType="solid">
          <x:bgColor rgb="FFDCEAF7"/>
        </x:patternFill>
      </x:fill>
    </x:dxf>
    <x:dxf>
      <x:font>
        <x:b/>
        <x:color rgb="FF185B37"/>
      </x:font>
      <x:fill>
        <x:patternFill patternType="solid">
          <x:bgColor rgb="FFDCEFE4"/>
        </x:patternFill>
      </x:fill>
    </x:dxf>
    <x:dxf>
      <x:font>
        <x:b/>
        <x:color rgb="FF765500"/>
      </x:font>
      <x:fill>
        <x:patternFill patternType="solid">
          <x:bgColor rgb="FFFFF0C2"/>
        </x:patternFill>
      </x:fill>
    </x:dxf>
    <x:dxf>
      <x:font>
        <x:b/>
        <x:color rgb="FF17212B"/>
      </x:font>
      <x:fill>
        <x:patternFill patternType="solid">
          <x:bgColor rgb="FFE9EDF1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185B37"/>
      </x:font>
      <x:fill>
        <x:patternFill patternType="solid">
          <x:bgColor rgb="FFDCEFE4"/>
        </x:patternFill>
      </x:fill>
    </x:dxf>
    <x:dxf>
      <x:font>
        <x:b/>
        <x:color rgb="FF765500"/>
      </x:font>
      <x:fill>
        <x:patternFill patternType="solid">
          <x:bgColor rgb="FFFFF0C2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color rgb="FF17212B"/>
      </x:font>
      <x:fill>
        <x:patternFill patternType="solid">
          <x:bgColor rgb="FFE9EDF1"/>
        </x:patternFill>
      </x:fill>
    </x:dxf>
    <x:dxf>
      <x:font>
        <x:b/>
        <x:color rgb="FF185B37"/>
      </x:font>
      <x:fill>
        <x:patternFill patternType="solid">
          <x:bgColor rgb="FFDCEF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ad3ca046242b8" /><Relationship Type="http://schemas.openxmlformats.org/officeDocument/2006/relationships/theme" Target="/xl/theme/theme1.xml" Id="R119a34fc25064f99" /><Relationship Type="http://schemas.openxmlformats.org/officeDocument/2006/relationships/sharedStrings" Target="/xl/sharedStrings.xml" Id="Rbdf5309bc794459d" /><Relationship Type="http://schemas.openxmlformats.org/officeDocument/2006/relationships/worksheet" Target="/xl/worksheets/sheet1.xml" Id="R25e34eba9fa744e3" /><Relationship Type="http://schemas.openxmlformats.org/officeDocument/2006/relationships/worksheet" Target="/xl/worksheets/sheet2.xml" Id="R5f2f5070d8754da3" /><Relationship Type="http://schemas.openxmlformats.org/officeDocument/2006/relationships/worksheet" Target="/xl/worksheets/sheet3.xml" Id="Ra45f7edd93c14a0a" /><Relationship Type="http://schemas.openxmlformats.org/officeDocument/2006/relationships/worksheet" Target="/xl/worksheets/sheet4.xml" Id="R6b388b6de2224dc5" /><Relationship Type="http://schemas.openxmlformats.org/officeDocument/2006/relationships/worksheet" Target="/xl/worksheets/sheet5.xml" Id="R780ac2bd46ef47bf" /><Relationship Type="http://schemas.openxmlformats.org/officeDocument/2006/relationships/worksheet" Target="/xl/worksheets/sheet6.xml" Id="R2d7286f962174cc8" /></Relationships>
</file>

<file path=xl/tables/table1.xml><?xml version="1.0" encoding="utf-8"?>
<x:table xmlns:x="http://schemas.openxmlformats.org/spreadsheetml/2006/main" id="1" name="CrossTeamSignalsTable" displayName="CrossTeamSignalsTable" ref="A6:N12" headerRowCount="1" totalsRowCount="0" totalsRowShown="0">
  <x:tableColumns count="14">
    <x:tableColumn id="1" name="ID"/>
    <x:tableColumn id="2" name="Sender Owner"/>
    <x:tableColumn id="3" name="Sender Component"/>
    <x:tableColumn id="4" name="Receiver Owner"/>
    <x:tableColumn id="5" name="Receiver Clock Domain"/>
    <x:tableColumn id="6" name="Signal"/>
    <x:tableColumn id="7" name="Type"/>
    <x:tableColumn id="8" name="Receiver IP"/>
    <x:tableColumn id="9" name="Receiver Port"/>
    <x:tableColumn id="10" name="When to emit"/>
    <x:tableColumn id="11" name="Cardinality / Guard"/>
    <x:tableColumn id="12" name="Response / Evidence"/>
    <x:tableColumn id="13" name="Change Owner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3InternalSignalsTable" displayName="M3InternalSignalsTable" ref="A6:J20" headerRowCount="1" totalsRowCount="0" totalsRowShown="0">
  <x:tableColumns count="10">
    <x:tableColumn id="1" name="ID"/>
    <x:tableColumn id="2" name="Sender"/>
    <x:tableColumn id="3" name="Receiver"/>
    <x:tableColumn id="4" name="Signal"/>
    <x:tableColumn id="5" name="Type"/>
    <x:tableColumn id="6" name="Receiver Port"/>
    <x:tableColumn id="7" name="Purpose"/>
    <x:tableColumn id="8" name="Safety / Completion Rule"/>
    <x:tableColumn id="9" name="External Dependency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usCodesTable" displayName="StatusCodesTable" ref="A6:F11" headerRowCount="1" totalsRowCount="0" totalsRowShown="0">
  <x:tableColumns count="6">
    <x:tableColumn id="1" name="Code"/>
    <x:tableColumn id="2" name="Name"/>
    <x:tableColumn id="3" name="Transport Meaning"/>
    <x:tableColumn id="4" name="Lid-loader Meaning"/>
    <x:tableColumn id="5" name="Coordinator Action"/>
    <x:tableColumn id="6" name="Contra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grationChecklistTable" displayName="IntegrationChecklistTable" ref="A6:G17" headerRowCount="1" totalsRowCount="0" totalsRowShown="0">
  <x:tableColumns count="7">
    <x:tableColumn id="1" name="ID"/>
    <x:tableColumn id="2" name="Owner"/>
    <x:tableColumn id="3" name="Action"/>
    <x:tableColumn id="4" name="Required Evidence"/>
    <x:tableColumn id="5" name="Blocking"/>
    <x:tableColumn id="6" name="State"/>
    <x:tableColumn id="7" name="Notes / Respon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EvidenceTable" displayName="TestEvidenceTable" ref="A6:G12" headerRowCount="1" totalsRowCount="0" totalsRowShown="0">
  <x:tableColumns count="7">
    <x:tableColumn id="1" name="ID"/>
    <x:tableColumn id="2" name="Layer"/>
    <x:tableColumn id="3" name="Verification"/>
    <x:tableColumn id="4" name="Tool / Runtime"/>
    <x:tableColumn id="5" name="Expected"/>
    <x:tableColumn id="6" name="Result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ba384708f641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49c854b6ec46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5ae4d8134a4d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6120f02bbc45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70d2d733e54f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3.329999923706055" hidden="0" customWidth="1"/>
    <x:col min="3" max="3" width="20" hidden="0" customWidth="1"/>
    <x:col min="4" max="4" width="13.329999923706055" hidden="0" customWidth="1"/>
    <x:col min="5" max="5" width="10.5600004196167" hidden="0" customWidth="1"/>
    <x:col min="6" max="6" width="28.889999389648438" hidden="0" customWidth="1"/>
    <x:col min="7" max="7" width="17.219999313354492" hidden="0" customWidth="1"/>
    <x:col min="8" max="8" width="31.110000610351562" hidden="0" customWidth="1"/>
  </x:cols>
  <x:sheetData>
    <x:row r="1" ht="25.5" customHeight="1">
      <x:c r="A1" s="48" t="str">
        <x:v>COMPSYS 704 - Member 3 Team Contract V1</x:v>
      </x:c>
      <x:c r="B1" s="48" t="str">
        <x:v>COMPSYS 704 - Member 3 Team Contract V1</x:v>
      </x:c>
      <x:c r="C1" s="48" t="str">
        <x:v>COMPSYS 704 - Member 3 Team Contract V1</x:v>
      </x:c>
      <x:c r="D1" s="48" t="str">
        <x:v>COMPSYS 704 - Member 3 Team Contract V1</x:v>
      </x:c>
      <x:c r="E1" s="48" t="str">
        <x:v>COMPSYS 704 - Member 3 Team Contract V1</x:v>
      </x:c>
      <x:c r="F1" s="48" t="str">
        <x:v>COMPSYS 704 - Member 3 Team Contract V1</x:v>
      </x:c>
      <x:c r="G1" s="48" t="str">
        <x:v>COMPSYS 704 - Member 3 Team Contract V1</x:v>
      </x:c>
      <x:c r="H1" s="48" t="str">
        <x:v>COMPSYS 704 - Member 3 Team Contract V1</x:v>
      </x:c>
    </x:row>
    <x:row r="2" ht="25.5" customHeight="1">
      <x:c r="A2" s="48" t="str">
        <x:v>COMPSYS 704 - Member 3 Team Contract V1</x:v>
      </x:c>
      <x:c r="B2" s="48" t="str">
        <x:v>COMPSYS 704 - Member 3 Team Contract V1</x:v>
      </x:c>
      <x:c r="C2" s="48" t="str">
        <x:v>COMPSYS 704 - Member 3 Team Contract V1</x:v>
      </x:c>
      <x:c r="D2" s="48" t="str">
        <x:v>COMPSYS 704 - Member 3 Team Contract V1</x:v>
      </x:c>
      <x:c r="E2" s="48" t="str">
        <x:v>COMPSYS 704 - Member 3 Team Contract V1</x:v>
      </x:c>
      <x:c r="F2" s="48" t="str">
        <x:v>COMPSYS 704 - Member 3 Team Contract V1</x:v>
      </x:c>
      <x:c r="G2" s="48" t="str">
        <x:v>COMPSYS 704 - Member 3 Team Contract V1</x:v>
      </x:c>
      <x:c r="H2" s="48" t="str">
        <x:v>COMPSYS 704 - Member 3 Team Contract V1</x:v>
      </x:c>
    </x:row>
    <x:row r="3">
      <x:c r="A3" s="49" t="str">
        <x:v>Frozen implementation baseline | Transport/Rotary + Lid Loader | Owner: M3 | 2026-08-16</x:v>
      </x:c>
      <x:c r="B3" s="49" t="str">
        <x:v>Frozen implementation baseline | Transport/Rotary + Lid Loader | Owner: M3 | 2026-08-16</x:v>
      </x:c>
      <x:c r="C3" s="49" t="str">
        <x:v>Frozen implementation baseline | Transport/Rotary + Lid Loader | Owner: M3 | 2026-08-16</x:v>
      </x:c>
      <x:c r="D3" s="49" t="str">
        <x:v>Frozen implementation baseline | Transport/Rotary + Lid Loader | Owner: M3 | 2026-08-16</x:v>
      </x:c>
      <x:c r="E3" s="49" t="str">
        <x:v>Frozen implementation baseline | Transport/Rotary + Lid Loader | Owner: M3 | 2026-08-16</x:v>
      </x:c>
      <x:c r="F3" s="49" t="str">
        <x:v>Frozen implementation baseline | Transport/Rotary + Lid Loader | Owner: M3 | 2026-08-16</x:v>
      </x:c>
      <x:c r="G3" s="49" t="str">
        <x:v>Frozen implementation baseline | Transport/Rotary + Lid Loader | Owner: M3 | 2026-08-16</x:v>
      </x:c>
      <x:c r="H3" s="49" t="str">
        <x:v>Frozen implementation baseline | Transport/Rotary + Lid Loader | Owner: M3 | 2026-08-16</x:v>
      </x:c>
    </x:row>
    <x:row r="4">
      <x:c r="A4" s="50"/>
      <x:c r="B4" s="50"/>
      <x:c r="C4" s="50"/>
      <x:c r="D4" s="50"/>
      <x:c r="E4" s="50"/>
      <x:c r="F4" s="50"/>
      <x:c r="G4" s="50"/>
      <x:c r="H4" s="50"/>
    </x:row>
    <x:row r="5">
      <x:c r="A5" s="51" t="str">
        <x:v>Ownership boundary</x:v>
      </x:c>
      <x:c r="B5" s="51" t="str">
        <x:v>Ownership boundary</x:v>
      </x:c>
      <x:c r="C5" s="51" t="str">
        <x:v>Ownership boundary</x:v>
      </x:c>
      <x:c r="D5" s="51" t="str">
        <x:v>Ownership boundary</x:v>
      </x:c>
      <x:c r="E5" s="51" t="str">
        <x:v>Ownership boundary</x:v>
      </x:c>
      <x:c r="F5" s="51" t="str">
        <x:v>Ownership boundary</x:v>
      </x:c>
      <x:c r="G5" s="51" t="str">
        <x:v>Ownership boundary</x:v>
      </x:c>
      <x:c r="H5" s="51" t="str">
        <x:v>Ownership boundary</x:v>
      </x:c>
    </x:row>
    <x:row r="6">
      <x:c r="A6" s="52" t="str">
        <x:v>Component</x:v>
      </x:c>
      <x:c r="B6" s="52" t="str">
        <x:v>Owner</x:v>
      </x:c>
      <x:c r="C6" s="52" t="str">
        <x:v>Clock Domain</x:v>
      </x:c>
      <x:c r="D6" s="52" t="str">
        <x:v>Receiver IP</x:v>
      </x:c>
      <x:c r="E6" s="52" t="str">
        <x:v>Receiver Port</x:v>
      </x:c>
      <x:c r="F6" s="52" t="str">
        <x:v>Interface Role</x:v>
      </x:c>
      <x:c r="G6" s="52" t="str">
        <x:v>Status</x:v>
      </x:c>
      <x:c r="H6" s="52" t="str">
        <x:v>Do not duplicate</x:v>
      </x:c>
    </x:row>
    <x:row r="7" ht="36" customHeight="1">
      <x:c r="A7" s="23" t="str">
        <x:v>Transport / rotary control</x:v>
      </x:c>
      <x:c r="B7" s="23" t="str">
        <x:v>M3</x:v>
      </x:c>
      <x:c r="C7" s="23" t="str">
        <x:v>TransportControllerCD</x:v>
      </x:c>
      <x:c r="D7" s="23" t="str">
        <x:v>127.0.0.1</x:v>
      </x:c>
      <x:c r="E7" s="26" t="n">
        <x:v>11003</x:v>
      </x:c>
      <x:c r="F7" s="23" t="str">
        <x:v>Frozen Coordinator boundary + M3 rotary control</x:v>
      </x:c>
      <x:c r="G7" s="23" t="str">
        <x:v>Frozen / Implemented</x:v>
      </x:c>
      <x:c r="H7" s="23" t="str">
        <x:v>M1, M2 and M4 must not bind port 11003</x:v>
      </x:c>
    </x:row>
    <x:row r="8" ht="36" customHeight="1">
      <x:c r="A8" s="24" t="str">
        <x:v>Rotary-table Plant</x:v>
      </x:c>
      <x:c r="B8" s="24" t="str">
        <x:v>M3</x:v>
      </x:c>
      <x:c r="C8" s="24" t="str">
        <x:v>RotaryTablePlantCD</x:v>
      </x:c>
      <x:c r="D8" s="24" t="str">
        <x:v>127.0.0.1</x:v>
      </x:c>
      <x:c r="E8" s="27" t="n">
        <x:v>12003</x:v>
      </x:c>
      <x:c r="F8" s="24" t="str">
        <x:v>Bottle positions, alignment sensor and table actuator</x:v>
      </x:c>
      <x:c r="G8" s="24" t="str">
        <x:v>Implemented</x:v>
      </x:c>
      <x:c r="H8" s="24" t="str">
        <x:v>M1, M2 and M4 must not bind port 12003</x:v>
      </x:c>
    </x:row>
    <x:row r="9" ht="36" customHeight="1">
      <x:c r="A9" s="24" t="str">
        <x:v>Lid-loader Controller</x:v>
      </x:c>
      <x:c r="B9" s="24" t="str">
        <x:v>M3</x:v>
      </x:c>
      <x:c r="C9" s="24" t="str">
        <x:v>LidLoaderControllerCD</x:v>
      </x:c>
      <x:c r="D9" s="24" t="str">
        <x:v>127.0.0.1</x:v>
      </x:c>
      <x:c r="E9" s="27" t="n">
        <x:v>11006</x:v>
      </x:c>
      <x:c r="F9" s="24" t="str">
        <x:v>Frozen Coordinator boundary + lid sequence</x:v>
      </x:c>
      <x:c r="G9" s="24" t="str">
        <x:v>Frozen / Implemented</x:v>
      </x:c>
      <x:c r="H9" s="24" t="str">
        <x:v>M1, M2 and M4 must not bind port 11006</x:v>
      </x:c>
    </x:row>
    <x:row r="10" ht="36" customHeight="1">
      <x:c r="A10" s="25" t="str">
        <x:v>Lid-loader Plant</x:v>
      </x:c>
      <x:c r="B10" s="25" t="str">
        <x:v>M3</x:v>
      </x:c>
      <x:c r="C10" s="25" t="str">
        <x:v>LidLoaderPlantCD</x:v>
      </x:c>
      <x:c r="D10" s="25" t="str">
        <x:v>127.0.0.1</x:v>
      </x:c>
      <x:c r="E10" s="28" t="n">
        <x:v>12006</x:v>
      </x:c>
      <x:c r="F10" s="25" t="str">
        <x:v>Magazine, pick/place sensors and actuators</x:v>
      </x:c>
      <x:c r="G10" s="25" t="str">
        <x:v>Implemented</x:v>
      </x:c>
      <x:c r="H10" s="25" t="str">
        <x:v>M1, M2 and M4 must not bind port 12006</x:v>
      </x:c>
    </x:row>
    <x:row r="11">
      <x:c r="A11" s="50"/>
      <x:c r="B11" s="50"/>
      <x:c r="C11" s="50"/>
      <x:c r="D11" s="50"/>
      <x:c r="E11" s="50"/>
      <x:c r="F11" s="50"/>
      <x:c r="G11" s="50"/>
      <x:c r="H11" s="50"/>
    </x:row>
    <x:row r="12">
      <x:c r="A12" s="51" t="str">
        <x:v>Integration decisions</x:v>
      </x:c>
      <x:c r="B12" s="51" t="str">
        <x:v>Integration decisions</x:v>
      </x:c>
      <x:c r="C12" s="51" t="str">
        <x:v>Integration decisions</x:v>
      </x:c>
      <x:c r="D12" s="51" t="str">
        <x:v>Integration decisions</x:v>
      </x:c>
      <x:c r="E12" s="51" t="str">
        <x:v>Integration decisions</x:v>
      </x:c>
      <x:c r="F12" s="51" t="str">
        <x:v>Integration decisions</x:v>
      </x:c>
      <x:c r="G12" s="51" t="str">
        <x:v>Integration decisions</x:v>
      </x:c>
      <x:c r="H12" s="51" t="str">
        <x:v>Integration decisions</x:v>
      </x:c>
    </x:row>
    <x:row r="13">
      <x:c r="A13" s="52" t="str">
        <x:v>Decision</x:v>
      </x:c>
      <x:c r="B13" s="52" t="str">
        <x:v>V1 contract</x:v>
      </x:c>
      <x:c r="C13" s="50"/>
      <x:c r="D13" s="50"/>
      <x:c r="E13" s="50"/>
      <x:c r="F13" s="50"/>
      <x:c r="G13" s="50"/>
      <x:c r="H13" s="50"/>
    </x:row>
    <x:row r="14" ht="54" customHeight="1">
      <x:c r="A14" s="23" t="str">
        <x:v>Rotation authority</x:v>
      </x:c>
      <x:c r="B14" s="23" t="str">
        <x:v>M3 only. ROTATE_REQUEST and ROTATION_DONE are internal M3 signals; M2/M4 must not emit ROTATE_REQUEST.</x:v>
      </x:c>
      <x:c r="C14" s="50"/>
      <x:c r="D14" s="50"/>
      <x:c r="E14" s="50"/>
      <x:c r="F14" s="50"/>
      <x:c r="G14" s="50"/>
      <x:c r="H14" s="50"/>
    </x:row>
    <x:row r="15" ht="54" customHeight="1">
      <x:c r="A15" s="24" t="str">
        <x:v>Bottle identity</x:v>
      </x:c>
      <x:c r="B15" s="24" t="str">
        <x:v>LOAD_BOTTLE carries a non-empty unique String bottle ID.</x:v>
      </x:c>
      <x:c r="C15" s="50"/>
      <x:c r="D15" s="50"/>
      <x:c r="E15" s="50"/>
      <x:c r="F15" s="50"/>
      <x:c r="G15" s="50"/>
      <x:c r="H15" s="50"/>
    </x:row>
    <x:row r="16" ht="54" customHeight="1">
      <x:c r="A16" s="24" t="str">
        <x:v>Coordinator access</x:v>
      </x:c>
      <x:c r="B16" s="24" t="str">
        <x:v>M1 uses only the two frozen status request/response pairs; M1 never talks directly to either Plant.</x:v>
      </x:c>
      <x:c r="C16" s="50"/>
      <x:c r="D16" s="50"/>
      <x:c r="E16" s="50"/>
      <x:c r="F16" s="50"/>
      <x:c r="G16" s="50"/>
      <x:c r="H16" s="50"/>
    </x:row>
    <x:row r="17" ht="54" customHeight="1">
      <x:c r="A17" s="25" t="str">
        <x:v>Deployment IP</x:v>
      </x:c>
      <x:c r="B17" s="25" t="str">
        <x:v>127.0.0.1 is the local integration default. Only host IPs change for multi-computer deployment; signal names and ports stay fixed.</x:v>
      </x:c>
      <x:c r="C17" s="50"/>
      <x:c r="D17" s="50"/>
      <x:c r="E17" s="50"/>
      <x:c r="F17" s="50"/>
      <x:c r="G17" s="50"/>
      <x:c r="H17" s="50"/>
    </x:row>
    <x:row r="18">
      <x:c r="A18" s="50"/>
      <x:c r="B18" s="50"/>
      <x:c r="C18" s="50"/>
      <x:c r="D18" s="50"/>
      <x:c r="E18" s="50"/>
      <x:c r="F18" s="50"/>
      <x:c r="G18" s="50"/>
      <x:c r="H18" s="50"/>
    </x:row>
    <x:row r="19">
      <x:c r="A19" s="51" t="str">
        <x:v>Readiness summary</x:v>
      </x:c>
      <x:c r="B19" s="51" t="str">
        <x:v>Readiness summary</x:v>
      </x:c>
      <x:c r="C19" s="51" t="str">
        <x:v>Readiness summary</x:v>
      </x:c>
      <x:c r="D19" s="51" t="str">
        <x:v>Readiness summary</x:v>
      </x:c>
      <x:c r="E19" s="51" t="str">
        <x:v>Readiness summary</x:v>
      </x:c>
      <x:c r="F19" s="51" t="str">
        <x:v>Readiness summary</x:v>
      </x:c>
      <x:c r="G19" s="51" t="str">
        <x:v>Readiness summary</x:v>
      </x:c>
      <x:c r="H19" s="51" t="str">
        <x:v>Readiness summary</x:v>
      </x:c>
    </x:row>
    <x:row r="20">
      <x:c r="A20" s="52" t="str">
        <x:v>Metric</x:v>
      </x:c>
      <x:c r="B20" s="52" t="str">
        <x:v>Value</x:v>
      </x:c>
      <x:c r="C20" s="52" t="str">
        <x:v>Source</x:v>
      </x:c>
      <x:c r="D20" s="52" t="str">
        <x:v>Interpretation</x:v>
      </x:c>
      <x:c r="E20" s="50"/>
      <x:c r="F20" s="50"/>
      <x:c r="G20" s="50"/>
      <x:c r="H20" s="50"/>
    </x:row>
    <x:row r="21" ht="43.5" customHeight="1">
      <x:c r="A21" s="23" t="str">
        <x:v>Owned clock-domains</x:v>
      </x:c>
      <x:c r="B21" s="35" t="n">
        <x:f>COUNTA(C7:C10)</x:f>
        <x:v>4</x:v>
      </x:c>
      <x:c r="C21" s="23" t="str">
        <x:v>Ownership table</x:v>
      </x:c>
      <x:c r="D21" s="23" t="str">
        <x:v>All four M3 receiver boundaries are assigned</x:v>
      </x:c>
      <x:c r="E21" s="50"/>
      <x:c r="F21" s="50"/>
      <x:c r="G21" s="50"/>
      <x:c r="H21" s="50"/>
    </x:row>
    <x:row r="22" ht="43.5" customHeight="1">
      <x:c r="A22" s="24" t="str">
        <x:v>Frozen cross-team entries</x:v>
      </x:c>
      <x:c r="B22" s="36" t="n">
        <x:f>COUNTIF('Cross-Team Signals'!$N$7:$N$12,"Frozen")+COUNTIF('Cross-Team Signals'!$N$7:$N$12,"Frozen baseline")</x:f>
        <x:v>6</x:v>
      </x:c>
      <x:c r="C22" s="24" t="str">
        <x:v>Cross-Team Signals</x:v>
      </x:c>
      <x:c r="D22" s="24" t="str">
        <x:v>All receiver-side names, types and ports are fixed</x:v>
      </x:c>
      <x:c r="E22" s="50"/>
      <x:c r="F22" s="50"/>
      <x:c r="G22" s="50"/>
      <x:c r="H22" s="50"/>
    </x:row>
    <x:row r="23" ht="43.5" customHeight="1">
      <x:c r="A23" s="24" t="str">
        <x:v>M2/M4 implementation entries</x:v>
      </x:c>
      <x:c r="B23" s="36" t="n">
        <x:f>COUNTIF('Cross-Team Signals'!$B$7:$B$12,"M2")+COUNTIF('Cross-Team Signals'!$B$7:$B$12,"M4")</x:f>
        <x:v>4</x:v>
      </x:c>
      <x:c r="C23" s="24" t="str">
        <x:v>Cross-Team Signals</x:v>
      </x:c>
      <x:c r="D23" s="24" t="str">
        <x:v>Four mappings can be copied directly into member code</x:v>
      </x:c>
      <x:c r="E23" s="50"/>
      <x:c r="F23" s="50"/>
      <x:c r="G23" s="50"/>
      <x:c r="H23" s="50"/>
    </x:row>
    <x:row r="24" ht="43.5" customHeight="1">
      <x:c r="A24" s="25" t="str">
        <x:v>Verified SystemJ scenarios</x:v>
      </x:c>
      <x:c r="B24" s="37" t="n">
        <x:f>COUNTIF('Test Evidence'!$F$7:$F$12,"PASS")</x:f>
        <x:v>6</x:v>
      </x:c>
      <x:c r="C24" s="25" t="str">
        <x:v>Test Evidence</x:v>
      </x:c>
      <x:c r="D24" s="25" t="str">
        <x:v>Compiler, model tests and localhost demo</x:v>
      </x:c>
      <x:c r="E24" s="50"/>
      <x:c r="F24" s="50"/>
      <x:c r="G24" s="50"/>
      <x:c r="H24" s="50"/>
    </x:row>
  </x:sheetData>
  <x:mergeCells>
    <x:mergeCell ref="A1:H2"/>
    <x:mergeCell ref="A3:H3"/>
    <x:mergeCell ref="A5:H5"/>
    <x:mergeCell ref="A12:H12"/>
    <x:mergeCell ref="A19:H19"/>
  </x:mergeCells>
  <x:conditionalFormatting sqref="G7:G10">
    <x:cfRule type="containsText" dxfId="0" priority="1" operator="containsText" text="Frozen"/>
    <x:cfRule type="containsText" dxfId="1" priority="2" operator="containsText" text="Implemented"/>
    <x:cfRule type="containsText" dxfId="2" priority="3" operator="containsText" text="Team confirm"/>
    <x:cfRule type="containsText" dxfId="3" priority="4" operator="containsText" text="M3 internal"/>
    <x:cfRule type="containsText" dxfId="4" priority="5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0.5600004196167" hidden="0" customWidth="1"/>
    <x:col min="3" max="3" width="20" hidden="0" customWidth="1"/>
    <x:col min="4" max="4" width="11.109999656677246" hidden="0" customWidth="1"/>
    <x:col min="5" max="5" width="21.110000610351562" hidden="0" customWidth="1"/>
    <x:col min="6" max="6" width="21.110000610351562" hidden="0" customWidth="1"/>
    <x:col min="7" max="7" width="8.329999923706055" hidden="0" customWidth="1"/>
    <x:col min="8" max="8" width="11.109999656677246" hidden="0" customWidth="1"/>
    <x:col min="9" max="9" width="10" hidden="0" customWidth="1"/>
    <x:col min="10" max="10" width="32.220001220703125" hidden="0" customWidth="1"/>
    <x:col min="11" max="11" width="30" hidden="0" customWidth="1"/>
    <x:col min="12" max="12" width="27.780000686645508" hidden="0" customWidth="1"/>
    <x:col min="13" max="13" width="12.220000267028809" hidden="0" customWidth="1"/>
    <x:col min="14" max="14" width="17.780000686645508" hidden="0" customWidth="1"/>
  </x:cols>
  <x:sheetData>
    <x:row r="1">
      <x:c r="A1" s="48" t="str">
        <x:v>Frozen Cross-Team Signal Contract</x:v>
      </x:c>
      <x:c r="B1" s="48" t="str">
        <x:v>Frozen Cross-Team Signal Contract</x:v>
      </x:c>
      <x:c r="C1" s="48" t="str">
        <x:v>Frozen Cross-Team Signal Contract</x:v>
      </x:c>
      <x:c r="D1" s="48" t="str">
        <x:v>Frozen Cross-Team Signal Contract</x:v>
      </x:c>
      <x:c r="E1" s="48" t="str">
        <x:v>Frozen Cross-Team Signal Contract</x:v>
      </x:c>
      <x:c r="F1" s="48" t="str">
        <x:v>Frozen Cross-Team Signal Contract</x:v>
      </x:c>
      <x:c r="G1" s="48" t="str">
        <x:v>Frozen Cross-Team Signal Contract</x:v>
      </x:c>
      <x:c r="H1" s="48" t="str">
        <x:v>Frozen Cross-Team Signal Contract</x:v>
      </x:c>
      <x:c r="I1" s="48" t="str">
        <x:v>Frozen Cross-Team Signal Contract</x:v>
      </x:c>
      <x:c r="J1" s="48" t="str">
        <x:v>Frozen Cross-Team Signal Contract</x:v>
      </x:c>
      <x:c r="K1" s="48" t="str">
        <x:v>Frozen Cross-Team Signal Contract</x:v>
      </x:c>
      <x:c r="L1" s="48" t="str">
        <x:v>Frozen Cross-Team Signal Contract</x:v>
      </x:c>
      <x:c r="M1" s="48" t="str">
        <x:v>Frozen Cross-Team Signal Contract</x:v>
      </x:c>
      <x:c r="N1" s="48" t="str">
        <x:v>Frozen Cross-Team Signal Contract</x:v>
      </x:c>
    </x:row>
    <x:row r="2">
      <x:c r="A2" s="48" t="str">
        <x:v>Frozen Cross-Team Signal Contract</x:v>
      </x:c>
      <x:c r="B2" s="48" t="str">
        <x:v>Frozen Cross-Team Signal Contract</x:v>
      </x:c>
      <x:c r="C2" s="48" t="str">
        <x:v>Frozen Cross-Team Signal Contract</x:v>
      </x:c>
      <x:c r="D2" s="48" t="str">
        <x:v>Frozen Cross-Team Signal Contract</x:v>
      </x:c>
      <x:c r="E2" s="48" t="str">
        <x:v>Frozen Cross-Team Signal Contract</x:v>
      </x:c>
      <x:c r="F2" s="48" t="str">
        <x:v>Frozen Cross-Team Signal Contract</x:v>
      </x:c>
      <x:c r="G2" s="48" t="str">
        <x:v>Frozen Cross-Team Signal Contract</x:v>
      </x:c>
      <x:c r="H2" s="48" t="str">
        <x:v>Frozen Cross-Team Signal Contract</x:v>
      </x:c>
      <x:c r="I2" s="48" t="str">
        <x:v>Frozen Cross-Team Signal Contract</x:v>
      </x:c>
      <x:c r="J2" s="48" t="str">
        <x:v>Frozen Cross-Team Signal Contract</x:v>
      </x:c>
      <x:c r="K2" s="48" t="str">
        <x:v>Frozen Cross-Team Signal Contract</x:v>
      </x:c>
      <x:c r="L2" s="48" t="str">
        <x:v>Frozen Cross-Team Signal Contract</x:v>
      </x:c>
      <x:c r="M2" s="48" t="str">
        <x:v>Frozen Cross-Team Signal Contract</x:v>
      </x:c>
      <x:c r="N2" s="48" t="str">
        <x:v>Frozen Cross-Team Signal Contract</x:v>
      </x:c>
    </x:row>
    <x:row r="3">
      <x:c r="A3" s="49" t="str">
        <x:v>Members may copy these names, types and destination ports directly; changes require Contract V2</x:v>
      </x:c>
      <x:c r="B3" s="49" t="str">
        <x:v>Members may copy these names, types and destination ports directly; changes require Contract V2</x:v>
      </x:c>
      <x:c r="C3" s="49" t="str">
        <x:v>Members may copy these names, types and destination ports directly; changes require Contract V2</x:v>
      </x:c>
      <x:c r="D3" s="49" t="str">
        <x:v>Members may copy these names, types and destination ports directly; changes require Contract V2</x:v>
      </x:c>
      <x:c r="E3" s="49" t="str">
        <x:v>Members may copy these names, types and destination ports directly; changes require Contract V2</x:v>
      </x:c>
      <x:c r="F3" s="49" t="str">
        <x:v>Members may copy these names, types and destination ports directly; changes require Contract V2</x:v>
      </x:c>
      <x:c r="G3" s="49" t="str">
        <x:v>Members may copy these names, types and destination ports directly; changes require Contract V2</x:v>
      </x:c>
      <x:c r="H3" s="49" t="str">
        <x:v>Members may copy these names, types and destination ports directly; changes require Contract V2</x:v>
      </x:c>
      <x:c r="I3" s="49" t="str">
        <x:v>Members may copy these names, types and destination ports directly; changes require Contract V2</x:v>
      </x:c>
      <x:c r="J3" s="49" t="str">
        <x:v>Members may copy these names, types and destination ports directly; changes require Contract V2</x:v>
      </x:c>
      <x:c r="K3" s="49" t="str">
        <x:v>Members may copy these names, types and destination ports directly; changes require Contract V2</x:v>
      </x:c>
      <x:c r="L3" s="49" t="str">
        <x:v>Members may copy these names, types and destination ports directly; changes require Contract V2</x:v>
      </x:c>
      <x:c r="M3" s="49" t="str">
        <x:v>Members may copy these names, types and destination ports directly; changes require Contract V2</x:v>
      </x:c>
      <x:c r="N3" s="49" t="str">
        <x:v>Members may copy these names, types and destination ports directly; changes require Contract V2</x:v>
      </x:c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</x:row>
    <x:row r="5">
      <x:c r="A5" s="53" t="str">
        <x:v>Direction is written from the sender's perspective. Receiver IP 127.0.0.1 is valid for same-host testing and must be replaced with the M3 host IP for distributed deployment.</x:v>
      </x:c>
      <x:c r="B5" s="53" t="str">
        <x:v>Direction is written from the sender's perspective. Receiver IP 127.0.0.1 is valid for same-host testing and must be replaced with the M3 host IP for distributed deployment.</x:v>
      </x:c>
      <x:c r="C5" s="53" t="str">
        <x:v>Direction is written from the sender's perspective. Receiver IP 127.0.0.1 is valid for same-host testing and must be replaced with the M3 host IP for distributed deployment.</x:v>
      </x:c>
      <x:c r="D5" s="53" t="str">
        <x:v>Direction is written from the sender's perspective. Receiver IP 127.0.0.1 is valid for same-host testing and must be replaced with the M3 host IP for distributed deployment.</x:v>
      </x:c>
      <x:c r="E5" s="53" t="str">
        <x:v>Direction is written from the sender's perspective. Receiver IP 127.0.0.1 is valid for same-host testing and must be replaced with the M3 host IP for distributed deployment.</x:v>
      </x:c>
      <x:c r="F5" s="53" t="str">
        <x:v>Direction is written from the sender's perspective. Receiver IP 127.0.0.1 is valid for same-host testing and must be replaced with the M3 host IP for distributed deployment.</x:v>
      </x:c>
      <x:c r="G5" s="53" t="str">
        <x:v>Direction is written from the sender's perspective. Receiver IP 127.0.0.1 is valid for same-host testing and must be replaced with the M3 host IP for distributed deployment.</x:v>
      </x:c>
      <x:c r="H5" s="53" t="str">
        <x:v>Direction is written from the sender's perspective. Receiver IP 127.0.0.1 is valid for same-host testing and must be replaced with the M3 host IP for distributed deployment.</x:v>
      </x:c>
      <x:c r="I5" s="53" t="str">
        <x:v>Direction is written from the sender's perspective. Receiver IP 127.0.0.1 is valid for same-host testing and must be replaced with the M3 host IP for distributed deployment.</x:v>
      </x:c>
      <x:c r="J5" s="53" t="str">
        <x:v>Direction is written from the sender's perspective. Receiver IP 127.0.0.1 is valid for same-host testing and must be replaced with the M3 host IP for distributed deployment.</x:v>
      </x:c>
      <x:c r="K5" s="53" t="str">
        <x:v>Direction is written from the sender's perspective. Receiver IP 127.0.0.1 is valid for same-host testing and must be replaced with the M3 host IP for distributed deployment.</x:v>
      </x:c>
      <x:c r="L5" s="53" t="str">
        <x:v>Direction is written from the sender's perspective. Receiver IP 127.0.0.1 is valid for same-host testing and must be replaced with the M3 host IP for distributed deployment.</x:v>
      </x:c>
      <x:c r="M5" s="53" t="str">
        <x:v>Direction is written from the sender's perspective. Receiver IP 127.0.0.1 is valid for same-host testing and must be replaced with the M3 host IP for distributed deployment.</x:v>
      </x:c>
      <x:c r="N5" s="53" t="str">
        <x:v>Direction is written from the sender's perspective. Receiver IP 127.0.0.1 is valid for same-host testing and must be replaced with the M3 host IP for distributed deployment.</x:v>
      </x:c>
    </x:row>
    <x:row r="6">
      <x:c r="A6" s="52" t="str">
        <x:v>ID</x:v>
      </x:c>
      <x:c r="B6" s="52" t="str">
        <x:v>Sender Owner</x:v>
      </x:c>
      <x:c r="C6" s="52" t="str">
        <x:v>Sender Component</x:v>
      </x:c>
      <x:c r="D6" s="52" t="str">
        <x:v>Receiver Owner</x:v>
      </x:c>
      <x:c r="E6" s="52" t="str">
        <x:v>Receiver Clock Domain</x:v>
      </x:c>
      <x:c r="F6" s="52" t="str">
        <x:v>Signal</x:v>
      </x:c>
      <x:c r="G6" s="52" t="str">
        <x:v>Type</x:v>
      </x:c>
      <x:c r="H6" s="52" t="str">
        <x:v>Receiver IP</x:v>
      </x:c>
      <x:c r="I6" s="52" t="str">
        <x:v>Receiver Port</x:v>
      </x:c>
      <x:c r="J6" s="52" t="str">
        <x:v>When to emit</x:v>
      </x:c>
      <x:c r="K6" s="52" t="str">
        <x:v>Cardinality / Guard</x:v>
      </x:c>
      <x:c r="L6" s="52" t="str">
        <x:v>Response / Evidence</x:v>
      </x:c>
      <x:c r="M6" s="52" t="str">
        <x:v>Change Owner</x:v>
      </x:c>
      <x:c r="N6" s="52" t="str">
        <x:v>Status</x:v>
      </x:c>
    </x:row>
    <x:row r="7" ht="57" customHeight="1">
      <x:c r="A7" s="23" t="str">
        <x:v>M1-M3-01</x:v>
      </x:c>
      <x:c r="B7" s="23" t="str">
        <x:v>M1</x:v>
      </x:c>
      <x:c r="C7" s="23" t="str">
        <x:v>CoordinatorCD</x:v>
      </x:c>
      <x:c r="D7" s="23" t="str">
        <x:v>M3</x:v>
      </x:c>
      <x:c r="E7" s="23" t="str">
        <x:v>TransportControllerCD</x:v>
      </x:c>
      <x:c r="F7" s="23" t="str">
        <x:v>TRANSPORT_STATUS_REQUEST</x:v>
      </x:c>
      <x:c r="G7" s="23" t="str">
        <x:v>pure</x:v>
      </x:c>
      <x:c r="H7" s="23" t="str">
        <x:v>M3 host</x:v>
      </x:c>
      <x:c r="I7" s="26" t="n">
        <x:v>11003</x:v>
      </x:c>
      <x:c r="J7" s="23" t="str">
        <x:v>Poll only when transport status is required</x:v>
      </x:c>
      <x:c r="K7" s="23" t="str">
        <x:v>Read-only; polling must not advance state</x:v>
      </x:c>
      <x:c r="L7" s="23" t="str">
        <x:v>TRANSPORT_STATUS: Integer -&gt; M1 port 11001</x:v>
      </x:c>
      <x:c r="M7" s="23" t="str">
        <x:v>M1 + M3</x:v>
      </x:c>
      <x:c r="N7" s="23" t="str">
        <x:v>Frozen</x:v>
      </x:c>
    </x:row>
    <x:row r="8" ht="57" customHeight="1">
      <x:c r="A8" s="24" t="str">
        <x:v>M1-M3-02</x:v>
      </x:c>
      <x:c r="B8" s="24" t="str">
        <x:v>M1</x:v>
      </x:c>
      <x:c r="C8" s="24" t="str">
        <x:v>CoordinatorCD</x:v>
      </x:c>
      <x:c r="D8" s="24" t="str">
        <x:v>M3</x:v>
      </x:c>
      <x:c r="E8" s="24" t="str">
        <x:v>LidLoaderControllerCD</x:v>
      </x:c>
      <x:c r="F8" s="24" t="str">
        <x:v>LID_STATUS_REQUEST</x:v>
      </x:c>
      <x:c r="G8" s="24" t="str">
        <x:v>pure</x:v>
      </x:c>
      <x:c r="H8" s="24" t="str">
        <x:v>M3 host</x:v>
      </x:c>
      <x:c r="I8" s="27" t="n">
        <x:v>11006</x:v>
      </x:c>
      <x:c r="J8" s="24" t="str">
        <x:v>Poll only when lid status is required</x:v>
      </x:c>
      <x:c r="K8" s="24" t="str">
        <x:v>Read-only; polling must not advance state</x:v>
      </x:c>
      <x:c r="L8" s="24" t="str">
        <x:v>LID_STATUS: Integer -&gt; M1 port 11001</x:v>
      </x:c>
      <x:c r="M8" s="24" t="str">
        <x:v>M1 + M3</x:v>
      </x:c>
      <x:c r="N8" s="24" t="str">
        <x:v>Frozen</x:v>
      </x:c>
    </x:row>
    <x:row r="9" ht="57" customHeight="1">
      <x:c r="A9" s="24" t="str">
        <x:v>M2-M3-01</x:v>
      </x:c>
      <x:c r="B9" s="24" t="str">
        <x:v>M2</x:v>
      </x:c>
      <x:c r="C9" s="24" t="str">
        <x:v>Bottle Loader / Conveyor</x:v>
      </x:c>
      <x:c r="D9" s="24" t="str">
        <x:v>M3</x:v>
      </x:c>
      <x:c r="E9" s="24" t="str">
        <x:v>RotaryTablePlantCD</x:v>
      </x:c>
      <x:c r="F9" s="24" t="str">
        <x:v>LOAD_BOTTLE</x:v>
      </x:c>
      <x:c r="G9" s="24" t="str">
        <x:v>String</x:v>
      </x:c>
      <x:c r="H9" s="24" t="str">
        <x:v>M3 host</x:v>
      </x:c>
      <x:c r="I9" s="27" t="n">
        <x:v>12003</x:v>
      </x:c>
      <x:c r="J9" s="24" t="str">
        <x:v>After a bottle is physically committed to table position 1</x:v>
      </x:c>
      <x:c r="K9" s="24" t="str">
        <x:v>Exactly once; non-empty unique ID; position 1 must be empty</x:v>
      </x:c>
      <x:c r="L9" s="24" t="str">
        <x:v>Bottle visible at M3 position 1</x:v>
      </x:c>
      <x:c r="M9" s="24" t="str">
        <x:v>M3 contract owner</x:v>
      </x:c>
      <x:c r="N9" s="24" t="str">
        <x:v>Frozen baseline</x:v>
      </x:c>
    </x:row>
    <x:row r="10" ht="57" customHeight="1">
      <x:c r="A10" s="24" t="str">
        <x:v>M2-M3-02</x:v>
      </x:c>
      <x:c r="B10" s="24" t="str">
        <x:v>M2</x:v>
      </x:c>
      <x:c r="C10" s="24" t="str">
        <x:v>Unloader</x:v>
      </x:c>
      <x:c r="D10" s="24" t="str">
        <x:v>M3</x:v>
      </x:c>
      <x:c r="E10" s="24" t="str">
        <x:v>RotaryTablePlantCD</x:v>
      </x:c>
      <x:c r="F10" s="24" t="str">
        <x:v>REMOVE_BOTTLE</x:v>
      </x:c>
      <x:c r="G10" s="24" t="str">
        <x:v>pure</x:v>
      </x:c>
      <x:c r="H10" s="24" t="str">
        <x:v>M3 host</x:v>
      </x:c>
      <x:c r="I10" s="27" t="n">
        <x:v>12003</x:v>
      </x:c>
      <x:c r="J10" s="24" t="str">
        <x:v>After the completed position-5 bottle is accepted by the unloader</x:v>
      </x:c>
      <x:c r="K10" s="24" t="str">
        <x:v>Exactly once; only when position 5 is occupied</x:v>
      </x:c>
      <x:c r="L10" s="24" t="str">
        <x:v>Position 5 becomes empty</x:v>
      </x:c>
      <x:c r="M10" s="24" t="str">
        <x:v>M3 contract owner</x:v>
      </x:c>
      <x:c r="N10" s="24" t="str">
        <x:v>Frozen baseline</x:v>
      </x:c>
    </x:row>
    <x:row r="11" ht="57" customHeight="1">
      <x:c r="A11" s="24" t="str">
        <x:v>M4-M3-01</x:v>
      </x:c>
      <x:c r="B11" s="24" t="str">
        <x:v>M4</x:v>
      </x:c>
      <x:c r="C11" s="24" t="str">
        <x:v>Filler Controller</x:v>
      </x:c>
      <x:c r="D11" s="24" t="str">
        <x:v>M3</x:v>
      </x:c>
      <x:c r="E11" s="24" t="str">
        <x:v>RotaryTablePlantCD</x:v>
      </x:c>
      <x:c r="F11" s="24" t="str">
        <x:v>MARK_FILLED</x:v>
      </x:c>
      <x:c r="G11" s="24" t="str">
        <x:v>pure</x:v>
      </x:c>
      <x:c r="H11" s="24" t="str">
        <x:v>M3 host</x:v>
      </x:c>
      <x:c r="I11" s="27" t="n">
        <x:v>12003</x:v>
      </x:c>
      <x:c r="J11" s="24" t="str">
        <x:v>After the position-2 bottle reaches its required fill quantity</x:v>
      </x:c>
      <x:c r="K11" s="24" t="str">
        <x:v>Exactly once per bottle; successful fill only</x:v>
      </x:c>
      <x:c r="L11" s="24" t="str">
        <x:v>M3 records bottle as filled</x:v>
      </x:c>
      <x:c r="M11" s="24" t="str">
        <x:v>M3 contract owner</x:v>
      </x:c>
      <x:c r="N11" s="24" t="str">
        <x:v>Frozen baseline</x:v>
      </x:c>
    </x:row>
    <x:row r="12" ht="57" customHeight="1">
      <x:c r="A12" s="25" t="str">
        <x:v>M4-M3-02</x:v>
      </x:c>
      <x:c r="B12" s="25" t="str">
        <x:v>M4</x:v>
      </x:c>
      <x:c r="C12" s="25" t="str">
        <x:v>Capper Controller</x:v>
      </x:c>
      <x:c r="D12" s="25" t="str">
        <x:v>M3</x:v>
      </x:c>
      <x:c r="E12" s="25" t="str">
        <x:v>RotaryTablePlantCD</x:v>
      </x:c>
      <x:c r="F12" s="25" t="str">
        <x:v>MARK_CAPPED</x:v>
      </x:c>
      <x:c r="G12" s="25" t="str">
        <x:v>pure</x:v>
      </x:c>
      <x:c r="H12" s="25" t="str">
        <x:v>M3 host</x:v>
      </x:c>
      <x:c r="I12" s="28" t="n">
        <x:v>12003</x:v>
      </x:c>
      <x:c r="J12" s="25" t="str">
        <x:v>After cap tightening succeeds for the position-4 bottle</x:v>
      </x:c>
      <x:c r="K12" s="25" t="str">
        <x:v>Exactly once per bottle; successful cap only</x:v>
      </x:c>
      <x:c r="L12" s="25" t="str">
        <x:v>M3 records bottle as capped</x:v>
      </x:c>
      <x:c r="M12" s="25" t="str">
        <x:v>M3 contract owner</x:v>
      </x:c>
      <x:c r="N12" s="25" t="str">
        <x:v>Frozen baseline</x:v>
      </x:c>
    </x:row>
  </x:sheetData>
  <x:mergeCells>
    <x:mergeCell ref="A1:N2"/>
    <x:mergeCell ref="A3:N3"/>
    <x:mergeCell ref="A5:N5"/>
  </x:mergeCells>
  <x:conditionalFormatting sqref="N7:N12">
    <x:cfRule type="containsText" dxfId="5" priority="1" operator="containsText" text="Frozen"/>
    <x:cfRule type="containsText" dxfId="6" priority="2" operator="containsText" text="Implemented"/>
    <x:cfRule type="containsText" dxfId="7" priority="3" operator="containsText" text="Team confirm"/>
    <x:cfRule type="containsText" dxfId="8" priority="4" operator="containsText" text="M3 internal"/>
    <x:cfRule type="containsText" dxfId="9" priority="5" operator="containsText" text="Blocked"/>
  </x:conditionalFormatting>
  <x:dataValidations count="1">
    <x:dataValidation type="list" sqref="N7:N12">
      <x:formula1>"Frozen,Frozen baseline,Implemented,Blocked"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ba384708f641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1.110000610351562" hidden="0" customWidth="1"/>
    <x:col min="4" max="4" width="26.110000610351562" hidden="0" customWidth="1"/>
    <x:col min="5" max="5" width="8.329999923706055" hidden="0" customWidth="1"/>
    <x:col min="6" max="6" width="10.5600004196167" hidden="0" customWidth="1"/>
    <x:col min="7" max="7" width="27.780000686645508" hidden="0" customWidth="1"/>
    <x:col min="8" max="8" width="32.220001220703125" hidden="0" customWidth="1"/>
    <x:col min="9" max="9" width="22.219999313354492" hidden="0" customWidth="1"/>
    <x:col min="10" max="10" width="18.889999389648438" hidden="0" customWidth="1"/>
  </x:cols>
  <x:sheetData>
    <x:row r="1">
      <x:c r="A1" s="48" t="str">
        <x:v>M3 Internal Signal Map</x:v>
      </x:c>
      <x:c r="B1" s="48" t="str">
        <x:v>M3 Internal Signal Map</x:v>
      </x:c>
      <x:c r="C1" s="48" t="str">
        <x:v>M3 Internal Signal Map</x:v>
      </x:c>
      <x:c r="D1" s="48" t="str">
        <x:v>M3 Internal Signal Map</x:v>
      </x:c>
      <x:c r="E1" s="48" t="str">
        <x:v>M3 Internal Signal Map</x:v>
      </x:c>
      <x:c r="F1" s="48" t="str">
        <x:v>M3 Internal Signal Map</x:v>
      </x:c>
      <x:c r="G1" s="48" t="str">
        <x:v>M3 Internal Signal Map</x:v>
      </x:c>
      <x:c r="H1" s="48" t="str">
        <x:v>M3 Internal Signal Map</x:v>
      </x:c>
      <x:c r="I1" s="48" t="str">
        <x:v>M3 Internal Signal Map</x:v>
      </x:c>
      <x:c r="J1" s="48" t="str">
        <x:v>M3 Internal Signal Map</x:v>
      </x:c>
    </x:row>
    <x:row r="2">
      <x:c r="A2" s="48" t="str">
        <x:v>M3 Internal Signal Map</x:v>
      </x:c>
      <x:c r="B2" s="48" t="str">
        <x:v>M3 Internal Signal Map</x:v>
      </x:c>
      <x:c r="C2" s="48" t="str">
        <x:v>M3 Internal Signal Map</x:v>
      </x:c>
      <x:c r="D2" s="48" t="str">
        <x:v>M3 Internal Signal Map</x:v>
      </x:c>
      <x:c r="E2" s="48" t="str">
        <x:v>M3 Internal Signal Map</x:v>
      </x:c>
      <x:c r="F2" s="48" t="str">
        <x:v>M3 Internal Signal Map</x:v>
      </x:c>
      <x:c r="G2" s="48" t="str">
        <x:v>M3 Internal Signal Map</x:v>
      </x:c>
      <x:c r="H2" s="48" t="str">
        <x:v>M3 Internal Signal Map</x:v>
      </x:c>
      <x:c r="I2" s="48" t="str">
        <x:v>M3 Internal Signal Map</x:v>
      </x:c>
      <x:c r="J2" s="48" t="str">
        <x:v>M3 Internal Signal Map</x:v>
      </x:c>
    </x:row>
    <x:row r="3">
      <x:c r="A3" s="49" t="str">
        <x:v>For M3 implementation and debugging; M1, M2 and M4 do not implement these signals</x:v>
      </x:c>
      <x:c r="B3" s="49" t="str">
        <x:v>For M3 implementation and debugging; M1, M2 and M4 do not implement these signals</x:v>
      </x:c>
      <x:c r="C3" s="49" t="str">
        <x:v>For M3 implementation and debugging; M1, M2 and M4 do not implement these signals</x:v>
      </x:c>
      <x:c r="D3" s="49" t="str">
        <x:v>For M3 implementation and debugging; M1, M2 and M4 do not implement these signals</x:v>
      </x:c>
      <x:c r="E3" s="49" t="str">
        <x:v>For M3 implementation and debugging; M1, M2 and M4 do not implement these signals</x:v>
      </x:c>
      <x:c r="F3" s="49" t="str">
        <x:v>For M3 implementation and debugging; M1, M2 and M4 do not implement these signals</x:v>
      </x:c>
      <x:c r="G3" s="49" t="str">
        <x:v>For M3 implementation and debugging; M1, M2 and M4 do not implement these signals</x:v>
      </x:c>
      <x:c r="H3" s="49" t="str">
        <x:v>For M3 implementation and debugging; M1, M2 and M4 do not implement these signals</x:v>
      </x:c>
      <x:c r="I3" s="49" t="str">
        <x:v>For M3 implementation and debugging; M1, M2 and M4 do not implement these signals</x:v>
      </x:c>
      <x:c r="J3" s="49" t="str">
        <x:v>For M3 implementation and debugging; M1, M2 and M4 do not implement these signals</x:v>
      </x:c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</x:row>
    <x:row r="5">
      <x:c r="A5" s="50"/>
      <x:c r="B5" s="50"/>
      <x:c r="C5" s="50"/>
      <x:c r="D5" s="50"/>
      <x:c r="E5" s="50"/>
      <x:c r="F5" s="50"/>
      <x:c r="G5" s="50"/>
      <x:c r="H5" s="50"/>
      <x:c r="I5" s="50"/>
      <x:c r="J5" s="50"/>
    </x:row>
    <x:row r="6">
      <x:c r="A6" s="52" t="str">
        <x:v>ID</x:v>
      </x:c>
      <x:c r="B6" s="52" t="str">
        <x:v>Sender</x:v>
      </x:c>
      <x:c r="C6" s="52" t="str">
        <x:v>Receiver</x:v>
      </x:c>
      <x:c r="D6" s="52" t="str">
        <x:v>Signal</x:v>
      </x:c>
      <x:c r="E6" s="52" t="str">
        <x:v>Type</x:v>
      </x:c>
      <x:c r="F6" s="52" t="str">
        <x:v>Receiver Port</x:v>
      </x:c>
      <x:c r="G6" s="52" t="str">
        <x:v>Purpose</x:v>
      </x:c>
      <x:c r="H6" s="52" t="str">
        <x:v>Safety / Completion Rule</x:v>
      </x:c>
      <x:c r="I6" s="52" t="str">
        <x:v>External Dependency</x:v>
      </x:c>
      <x:c r="J6" s="52" t="str">
        <x:v>Status</x:v>
      </x:c>
    </x:row>
    <x:row r="7" ht="46.5" customHeight="1">
      <x:c r="A7" s="23" t="str">
        <x:v>M3-I-01</x:v>
      </x:c>
      <x:c r="B7" s="23" t="str">
        <x:v>M3 sequence logic</x:v>
      </x:c>
      <x:c r="C7" s="23" t="str">
        <x:v>TransportControllerCD</x:v>
      </x:c>
      <x:c r="D7" s="23" t="str">
        <x:v>ROTATE_REQUEST</x:v>
      </x:c>
      <x:c r="E7" s="23" t="str">
        <x:v>pure</x:v>
      </x:c>
      <x:c r="F7" s="26" t="n">
        <x:v>11003</x:v>
      </x:c>
      <x:c r="G7" s="23" t="str">
        <x:v>Request one safe 60-degree movement</x:v>
      </x:c>
      <x:c r="H7" s="23" t="str">
        <x:v>Single M3 sender only; never emitted by M2/M4</x:v>
      </x:c>
      <x:c r="I7" s="23" t="str">
        <x:v>Final production sender must be wired by M3</x:v>
      </x:c>
      <x:c r="J7" s="23" t="str">
        <x:v>M3 internal / wiring pending</x:v>
      </x:c>
    </x:row>
    <x:row r="8" ht="46.5" customHeight="1">
      <x:c r="A8" s="24" t="str">
        <x:v>M3-I-02</x:v>
      </x:c>
      <x:c r="B8" s="24" t="str">
        <x:v>TransportControllerCD</x:v>
      </x:c>
      <x:c r="C8" s="24" t="str">
        <x:v>RotaryTablePlantCD</x:v>
      </x:c>
      <x:c r="D8" s="24" t="str">
        <x:v>ROTARY_TABLE_TRIGGER</x:v>
      </x:c>
      <x:c r="E8" s="24" t="str">
        <x:v>pure</x:v>
      </x:c>
      <x:c r="F8" s="27" t="n">
        <x:v>12003</x:v>
      </x:c>
      <x:c r="G8" s="24" t="str">
        <x:v>Energise the table actuator</x:v>
      </x:c>
      <x:c r="H8" s="24" t="str">
        <x:v>Active only while controller is ROTATING</x:v>
      </x:c>
      <x:c r="I8" s="24" t="str">
        <x:v>None</x:v>
      </x:c>
      <x:c r="J8" s="24" t="str">
        <x:v>M3 internal / Implemented</x:v>
      </x:c>
    </x:row>
    <x:row r="9" ht="46.5" customHeight="1">
      <x:c r="A9" s="24" t="str">
        <x:v>M3-I-03</x:v>
      </x:c>
      <x:c r="B9" s="24" t="str">
        <x:v>RotaryTablePlantCD</x:v>
      </x:c>
      <x:c r="C9" s="24" t="str">
        <x:v>TransportControllerCD</x:v>
      </x:c>
      <x:c r="D9" s="24" t="str">
        <x:v>TABLE_ALIGNED_WITH_SENSOR</x:v>
      </x:c>
      <x:c r="E9" s="24" t="str">
        <x:v>pure</x:v>
      </x:c>
      <x:c r="F9" s="27" t="n">
        <x:v>11003</x:v>
      </x:c>
      <x:c r="G9" s="24" t="str">
        <x:v>Confirm indexed alignment</x:v>
      </x:c>
      <x:c r="H9" s="24" t="str">
        <x:v>Required before DONE; timeout causes FAULT</x:v>
      </x:c>
      <x:c r="I9" s="24" t="str">
        <x:v>None</x:v>
      </x:c>
      <x:c r="J9" s="24" t="str">
        <x:v>M3 internal / Implemented</x:v>
      </x:c>
    </x:row>
    <x:row r="10" ht="46.5" customHeight="1">
      <x:c r="A10" s="24" t="str">
        <x:v>M3-I-04</x:v>
      </x:c>
      <x:c r="B10" s="24" t="str">
        <x:v>RotaryTablePlantCD</x:v>
      </x:c>
      <x:c r="C10" s="24" t="str">
        <x:v>TransportControllerCD</x:v>
      </x:c>
      <x:c r="D10" s="24" t="str">
        <x:v>CAP_ON_BOTTLE_AT_POS1</x:v>
      </x:c>
      <x:c r="E10" s="24" t="str">
        <x:v>pure</x:v>
      </x:c>
      <x:c r="F10" s="27" t="n">
        <x:v>11003</x:v>
      </x:c>
      <x:c r="G10" s="24" t="str">
        <x:v>Report blocked exit/load position</x:v>
      </x:c>
      <x:c r="H10" s="24" t="str">
        <x:v>Presence prevents a new rotation</x:v>
      </x:c>
      <x:c r="I10" s="24" t="str">
        <x:v>M2 must remove completed bottle</x:v>
      </x:c>
      <x:c r="J10" s="24" t="str">
        <x:v>M3 internal / Implemented</x:v>
      </x:c>
    </x:row>
    <x:row r="11" ht="46.5" customHeight="1">
      <x:c r="A11" s="24" t="str">
        <x:v>M3-I-05</x:v>
      </x:c>
      <x:c r="B11" s="24" t="str">
        <x:v>TransportControllerCD</x:v>
      </x:c>
      <x:c r="C11" s="24" t="str">
        <x:v>M3 sequence logic</x:v>
      </x:c>
      <x:c r="D11" s="24" t="str">
        <x:v>ROTATION_DONE</x:v>
      </x:c>
      <x:c r="E11" s="24" t="str">
        <x:v>pure</x:v>
      </x:c>
      <x:c r="F11" s="27" t="n">
        <x:v>12003</x:v>
      </x:c>
      <x:c r="G11" s="24" t="str">
        <x:v>Confirm one aligned 60-degree step</x:v>
      </x:c>
      <x:c r="H11" s="24" t="str">
        <x:v>Exactly one completion event per accepted request</x:v>
      </x:c>
      <x:c r="I11" s="24" t="str">
        <x:v>None</x:v>
      </x:c>
      <x:c r="J11" s="24" t="str">
        <x:v>M3 internal / Implemented</x:v>
      </x:c>
    </x:row>
    <x:row r="12" ht="46.5" customHeight="1">
      <x:c r="A12" s="24" t="str">
        <x:v>M3-I-06</x:v>
      </x:c>
      <x:c r="B12" s="24" t="str">
        <x:v>RotaryTablePlantCD</x:v>
      </x:c>
      <x:c r="C12" s="24" t="str">
        <x:v>LidLoaderControllerCD</x:v>
      </x:c>
      <x:c r="D12" s="24" t="str">
        <x:v>BOTTLE_AT_LID_POSITION</x:v>
      </x:c>
      <x:c r="E12" s="24" t="str">
        <x:v>pure</x:v>
      </x:c>
      <x:c r="F12" s="27" t="n">
        <x:v>11006</x:v>
      </x:c>
      <x:c r="G12" s="24" t="str">
        <x:v>Start lid cycle for position 3</x:v>
      </x:c>
      <x:c r="H12" s="24" t="str">
        <x:v>Only for a bottle without a lid</x:v>
      </x:c>
      <x:c r="I12" s="24" t="str">
        <x:v>None</x:v>
      </x:c>
      <x:c r="J12" s="24" t="str">
        <x:v>M3 internal / Implemented</x:v>
      </x:c>
    </x:row>
    <x:row r="13" ht="46.5" customHeight="1">
      <x:c r="A13" s="24" t="str">
        <x:v>M3-I-07</x:v>
      </x:c>
      <x:c r="B13" s="24" t="str">
        <x:v>RotaryTablePlantCD</x:v>
      </x:c>
      <x:c r="C13" s="24" t="str">
        <x:v>LidLoaderControllerCD</x:v>
      </x:c>
      <x:c r="D13" s="24" t="str">
        <x:v>LID_POSITION_CLEAR</x:v>
      </x:c>
      <x:c r="E13" s="24" t="str">
        <x:v>pure</x:v>
      </x:c>
      <x:c r="F13" s="27" t="n">
        <x:v>11006</x:v>
      </x:c>
      <x:c r="G13" s="24" t="str">
        <x:v>Release lid DONE state</x:v>
      </x:c>
      <x:c r="H13" s="24" t="str">
        <x:v>Only after lid state is recorded / position clears</x:v>
      </x:c>
      <x:c r="I13" s="24" t="str">
        <x:v>None</x:v>
      </x:c>
      <x:c r="J13" s="24" t="str">
        <x:v>M3 internal / Implemented</x:v>
      </x:c>
    </x:row>
    <x:row r="14" ht="46.5" customHeight="1">
      <x:c r="A14" s="24" t="str">
        <x:v>M3-I-08</x:v>
      </x:c>
      <x:c r="B14" s="24" t="str">
        <x:v>LidLoaderControllerCD</x:v>
      </x:c>
      <x:c r="C14" s="24" t="str">
        <x:v>LidLoaderPlantCD</x:v>
      </x:c>
      <x:c r="D14" s="24" t="str">
        <x:v>PICK_LID_TRIGGER</x:v>
      </x:c>
      <x:c r="E14" s="24" t="str">
        <x:v>pure</x:v>
      </x:c>
      <x:c r="F14" s="27" t="n">
        <x:v>12006</x:v>
      </x:c>
      <x:c r="G14" s="24" t="str">
        <x:v>Pick one lid</x:v>
      </x:c>
      <x:c r="H14" s="24" t="str">
        <x:v>Actuator off after confirmation or fault</x:v>
      </x:c>
      <x:c r="I14" s="24" t="str">
        <x:v>None</x:v>
      </x:c>
      <x:c r="J14" s="24" t="str">
        <x:v>M3 internal / Implemented</x:v>
      </x:c>
    </x:row>
    <x:row r="15" ht="46.5" customHeight="1">
      <x:c r="A15" s="24" t="str">
        <x:v>M3-I-09</x:v>
      </x:c>
      <x:c r="B15" s="24" t="str">
        <x:v>LidLoaderControllerCD</x:v>
      </x:c>
      <x:c r="C15" s="24" t="str">
        <x:v>LidLoaderPlantCD</x:v>
      </x:c>
      <x:c r="D15" s="24" t="str">
        <x:v>PLACE_LID_TRIGGER</x:v>
      </x:c>
      <x:c r="E15" s="24" t="str">
        <x:v>pure</x:v>
      </x:c>
      <x:c r="F15" s="27" t="n">
        <x:v>12006</x:v>
      </x:c>
      <x:c r="G15" s="24" t="str">
        <x:v>Place picked lid</x:v>
      </x:c>
      <x:c r="H15" s="24" t="str">
        <x:v>Actuator off after confirmation or fault</x:v>
      </x:c>
      <x:c r="I15" s="24" t="str">
        <x:v>None</x:v>
      </x:c>
      <x:c r="J15" s="24" t="str">
        <x:v>M3 internal / Implemented</x:v>
      </x:c>
    </x:row>
    <x:row r="16" ht="46.5" customHeight="1">
      <x:c r="A16" s="24" t="str">
        <x:v>M3-I-10</x:v>
      </x:c>
      <x:c r="B16" s="24" t="str">
        <x:v>LidLoaderControllerCD</x:v>
      </x:c>
      <x:c r="C16" s="24" t="str">
        <x:v>LidLoaderPlantCD</x:v>
      </x:c>
      <x:c r="D16" s="24" t="str">
        <x:v>LID_ABORT</x:v>
      </x:c>
      <x:c r="E16" s="24" t="str">
        <x:v>pure</x:v>
      </x:c>
      <x:c r="F16" s="27" t="n">
        <x:v>12006</x:v>
      </x:c>
      <x:c r="G16" s="24" t="str">
        <x:v>Stop lid actuators</x:v>
      </x:c>
      <x:c r="H16" s="24" t="str">
        <x:v>Emitted on fault path</x:v>
      </x:c>
      <x:c r="I16" s="24" t="str">
        <x:v>None</x:v>
      </x:c>
      <x:c r="J16" s="24" t="str">
        <x:v>M3 internal / Implemented</x:v>
      </x:c>
    </x:row>
    <x:row r="17" ht="46.5" customHeight="1">
      <x:c r="A17" s="24" t="str">
        <x:v>M3-I-11</x:v>
      </x:c>
      <x:c r="B17" s="24" t="str">
        <x:v>LidLoaderPlantCD</x:v>
      </x:c>
      <x:c r="C17" s="24" t="str">
        <x:v>LidLoaderControllerCD</x:v>
      </x:c>
      <x:c r="D17" s="24" t="str">
        <x:v>LID_AVAILABLE / LID_MAGAZINE_EMPTY</x:v>
      </x:c>
      <x:c r="E17" s="24" t="str">
        <x:v>pure</x:v>
      </x:c>
      <x:c r="F17" s="27" t="n">
        <x:v>11006</x:v>
      </x:c>
      <x:c r="G17" s="24" t="str">
        <x:v>Report lid inventory state</x:v>
      </x:c>
      <x:c r="H17" s="24" t="str">
        <x:v>Empty magazine blocks cycle and causes FAULT</x:v>
      </x:c>
      <x:c r="I17" s="24" t="str">
        <x:v>None</x:v>
      </x:c>
      <x:c r="J17" s="24" t="str">
        <x:v>M3 internal / Implemented</x:v>
      </x:c>
    </x:row>
    <x:row r="18" ht="46.5" customHeight="1">
      <x:c r="A18" s="24" t="str">
        <x:v>M3-I-12</x:v>
      </x:c>
      <x:c r="B18" s="24" t="str">
        <x:v>LidLoaderPlantCD</x:v>
      </x:c>
      <x:c r="C18" s="24" t="str">
        <x:v>LidLoaderControllerCD</x:v>
      </x:c>
      <x:c r="D18" s="24" t="str">
        <x:v>LID_PICKED / LID_PLACED_SENSOR</x:v>
      </x:c>
      <x:c r="E18" s="24" t="str">
        <x:v>pure</x:v>
      </x:c>
      <x:c r="F18" s="27" t="n">
        <x:v>11006</x:v>
      </x:c>
      <x:c r="G18" s="24" t="str">
        <x:v>Confirm physical pick and placement</x:v>
      </x:c>
      <x:c r="H18" s="24" t="str">
        <x:v>Missing confirmation times out to FAULT</x:v>
      </x:c>
      <x:c r="I18" s="24" t="str">
        <x:v>None</x:v>
      </x:c>
      <x:c r="J18" s="24" t="str">
        <x:v>M3 internal / Implemented</x:v>
      </x:c>
    </x:row>
    <x:row r="19" ht="46.5" customHeight="1">
      <x:c r="A19" s="24" t="str">
        <x:v>M3-I-13</x:v>
      </x:c>
      <x:c r="B19" s="24" t="str">
        <x:v>LidLoaderControllerCD</x:v>
      </x:c>
      <x:c r="C19" s="24" t="str">
        <x:v>RotaryTablePlantCD</x:v>
      </x:c>
      <x:c r="D19" s="24" t="str">
        <x:v>LID_CYCLE_DONE -&gt; MARK_LID_PLACED</x:v>
      </x:c>
      <x:c r="E19" s="24" t="str">
        <x:v>pure</x:v>
      </x:c>
      <x:c r="F19" s="27" t="n">
        <x:v>12003</x:v>
      </x:c>
      <x:c r="G19" s="24" t="str">
        <x:v>Record bottle as lidded</x:v>
      </x:c>
      <x:c r="H19" s="24" t="str">
        <x:v>One event per completed lid cycle</x:v>
      </x:c>
      <x:c r="I19" s="24" t="str">
        <x:v>None</x:v>
      </x:c>
      <x:c r="J19" s="24" t="str">
        <x:v>M3 internal / Implemented</x:v>
      </x:c>
    </x:row>
    <x:row r="20" ht="46.5" customHeight="1">
      <x:c r="A20" s="25" t="str">
        <x:v>M3-I-14</x:v>
      </x:c>
      <x:c r="B20" s="25" t="str">
        <x:v>Coordinator status handler</x:v>
      </x:c>
      <x:c r="C20" s="25" t="str">
        <x:v>CoordinatorCD</x:v>
      </x:c>
      <x:c r="D20" s="25" t="str">
        <x:v>TRANSPORT_STATUS / LID_STATUS</x:v>
      </x:c>
      <x:c r="E20" s="25" t="str">
        <x:v>Integer</x:v>
      </x:c>
      <x:c r="F20" s="28" t="n">
        <x:v>11001</x:v>
      </x:c>
      <x:c r="G20" s="25" t="str">
        <x:v>Return frozen status code</x:v>
      </x:c>
      <x:c r="H20" s="25" t="str">
        <x:v>Polling only; no operation side effect</x:v>
      </x:c>
      <x:c r="I20" s="25" t="str">
        <x:v>M1 receiver mapping</x:v>
      </x:c>
      <x:c r="J20" s="25" t="str">
        <x:v>Frozen / Implemented</x:v>
      </x:c>
    </x:row>
  </x:sheetData>
  <x:mergeCells>
    <x:mergeCell ref="A1:J2"/>
    <x:mergeCell ref="A3:J3"/>
  </x:mergeCells>
  <x:conditionalFormatting sqref="J7:J20">
    <x:cfRule type="containsText" dxfId="10" priority="1" operator="containsText" text="Frozen"/>
    <x:cfRule type="containsText" dxfId="11" priority="2" operator="containsText" text="Implemented"/>
    <x:cfRule type="containsText" dxfId="12" priority="3" operator="containsText" text="Team confirm"/>
    <x:cfRule type="containsText" dxfId="13" priority="4" operator="containsText" text="M3 internal"/>
    <x:cfRule type="containsText" dxfId="1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5a49c854b6ec46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670000076293945" hidden="0" customWidth="1"/>
    <x:col min="3" max="3" width="28.889999389648438" hidden="0" customWidth="1"/>
    <x:col min="4" max="4" width="28.889999389648438" hidden="0" customWidth="1"/>
    <x:col min="5" max="5" width="30" hidden="0" customWidth="1"/>
    <x:col min="6" max="6" width="11.670000076293945" hidden="0" customWidth="1"/>
  </x:cols>
  <x:sheetData>
    <x:row r="1">
      <x:c r="A1" s="48" t="str">
        <x:v>Frozen Status Code Dictionary</x:v>
      </x:c>
      <x:c r="B1" s="48" t="str">
        <x:v>Frozen Status Code Dictionary</x:v>
      </x:c>
      <x:c r="C1" s="48" t="str">
        <x:v>Frozen Status Code Dictionary</x:v>
      </x:c>
      <x:c r="D1" s="48" t="str">
        <x:v>Frozen Status Code Dictionary</x:v>
      </x:c>
      <x:c r="E1" s="48" t="str">
        <x:v>Frozen Status Code Dictionary</x:v>
      </x:c>
      <x:c r="F1" s="48" t="str">
        <x:v>Frozen Status Code Dictionary</x:v>
      </x:c>
    </x:row>
    <x:row r="2">
      <x:c r="A2" s="48" t="str">
        <x:v>Frozen Status Code Dictionary</x:v>
      </x:c>
      <x:c r="B2" s="48" t="str">
        <x:v>Frozen Status Code Dictionary</x:v>
      </x:c>
      <x:c r="C2" s="48" t="str">
        <x:v>Frozen Status Code Dictionary</x:v>
      </x:c>
      <x:c r="D2" s="48" t="str">
        <x:v>Frozen Status Code Dictionary</x:v>
      </x:c>
      <x:c r="E2" s="48" t="str">
        <x:v>Frozen Status Code Dictionary</x:v>
      </x:c>
      <x:c r="F2" s="48" t="str">
        <x:v>Frozen Status Code Dictionary</x:v>
      </x:c>
    </x:row>
    <x:row r="3">
      <x:c r="A3" s="49" t="str">
        <x:v>Used by TRANSPORT_STATUS and LID_STATUS responses to M1 CoordinatorCD</x:v>
      </x:c>
      <x:c r="B3" s="49" t="str">
        <x:v>Used by TRANSPORT_STATUS and LID_STATUS responses to M1 CoordinatorCD</x:v>
      </x:c>
      <x:c r="C3" s="49" t="str">
        <x:v>Used by TRANSPORT_STATUS and LID_STATUS responses to M1 CoordinatorCD</x:v>
      </x:c>
      <x:c r="D3" s="49" t="str">
        <x:v>Used by TRANSPORT_STATUS and LID_STATUS responses to M1 CoordinatorCD</x:v>
      </x:c>
      <x:c r="E3" s="49" t="str">
        <x:v>Used by TRANSPORT_STATUS and LID_STATUS responses to M1 CoordinatorCD</x:v>
      </x:c>
      <x:c r="F3" s="49" t="str">
        <x:v>Used by TRANSPORT_STATUS and LID_STATUS responses to M1 CoordinatorCD</x:v>
      </x:c>
    </x:row>
    <x:row r="4">
      <x:c r="A4" s="50"/>
      <x:c r="B4" s="50"/>
      <x:c r="C4" s="50"/>
      <x:c r="D4" s="50"/>
      <x:c r="E4" s="50"/>
      <x:c r="F4" s="50"/>
    </x:row>
    <x:row r="5">
      <x:c r="A5" s="50"/>
      <x:c r="B5" s="50"/>
      <x:c r="C5" s="50"/>
      <x:c r="D5" s="50"/>
      <x:c r="E5" s="50"/>
      <x:c r="F5" s="50"/>
    </x:row>
    <x:row r="6">
      <x:c r="A6" s="52" t="str">
        <x:v>Code</x:v>
      </x:c>
      <x:c r="B6" s="52" t="str">
        <x:v>Name</x:v>
      </x:c>
      <x:c r="C6" s="52" t="str">
        <x:v>Transport Meaning</x:v>
      </x:c>
      <x:c r="D6" s="52" t="str">
        <x:v>Lid-loader Meaning</x:v>
      </x:c>
      <x:c r="E6" s="52" t="str">
        <x:v>Coordinator Action</x:v>
      </x:c>
      <x:c r="F6" s="52" t="str">
        <x:v>Contract</x:v>
      </x:c>
    </x:row>
    <x:row r="7" ht="40.5" customHeight="1">
      <x:c r="A7" s="45" t="n">
        <x:v>0</x:v>
      </x:c>
      <x:c r="B7" s="23" t="str">
        <x:v>IDLE</x:v>
      </x:c>
      <x:c r="C7" s="23" t="str">
        <x:v>Not initialised or unavailable for work</x:v>
      </x:c>
      <x:c r="D7" s="23" t="str">
        <x:v>Not initialised or unavailable for work</x:v>
      </x:c>
      <x:c r="E7" s="23" t="str">
        <x:v>Do not issue work; continue monitoring</x:v>
      </x:c>
      <x:c r="F7" s="23" t="str">
        <x:v>Frozen</x:v>
      </x:c>
    </x:row>
    <x:row r="8" ht="40.5" customHeight="1">
      <x:c r="A8" s="46" t="n">
        <x:v>1</x:v>
      </x:c>
      <x:c r="B8" s="24" t="str">
        <x:v>READY</x:v>
      </x:c>
      <x:c r="C8" s="24" t="str">
        <x:v>Able to accept a safe rotary request</x:v>
      </x:c>
      <x:c r="D8" s="24" t="str">
        <x:v>Ready for a bottle requiring a lid</x:v>
      </x:c>
      <x:c r="E8" s="24" t="str">
        <x:v>May continue the order sequence</x:v>
      </x:c>
      <x:c r="F8" s="24" t="str">
        <x:v>Frozen</x:v>
      </x:c>
    </x:row>
    <x:row r="9" ht="40.5" customHeight="1">
      <x:c r="A9" s="46" t="n">
        <x:v>2</x:v>
      </x:c>
      <x:c r="B9" s="24" t="str">
        <x:v>BUSY</x:v>
      </x:c>
      <x:c r="C9" s="24" t="str">
        <x:v>Rotating or checking alignment</x:v>
      </x:c>
      <x:c r="D9" s="24" t="str">
        <x:v>Picking or placing a lid</x:v>
      </x:c>
      <x:c r="E9" s="24" t="str">
        <x:v>Wait; poll again later</x:v>
      </x:c>
      <x:c r="F9" s="24" t="str">
        <x:v>Frozen</x:v>
      </x:c>
    </x:row>
    <x:row r="10" ht="40.5" customHeight="1">
      <x:c r="A10" s="46" t="n">
        <x:v>3</x:v>
      </x:c>
      <x:c r="B10" s="24" t="str">
        <x:v>DONE</x:v>
      </x:c>
      <x:c r="C10" s="24" t="str">
        <x:v>One indexed movement completed</x:v>
      </x:c>
      <x:c r="D10" s="24" t="str">
        <x:v>One lid cycle completed</x:v>
      </x:c>
      <x:c r="E10" s="24" t="str">
        <x:v>Acknowledge/advance according to integration sequence</x:v>
      </x:c>
      <x:c r="F10" s="24" t="str">
        <x:v>Frozen</x:v>
      </x:c>
    </x:row>
    <x:row r="11" ht="40.5" customHeight="1">
      <x:c r="A11" s="47" t="n">
        <x:v>4</x:v>
      </x:c>
      <x:c r="B11" s="25" t="str">
        <x:v>FAULT</x:v>
      </x:c>
      <x:c r="C11" s="25" t="str">
        <x:v>Blocked request or alignment failure</x:v>
      </x:c>
      <x:c r="D11" s="25" t="str">
        <x:v>No lid, pick timeout or place timeout</x:v>
      </x:c>
      <x:c r="E11" s="25" t="str">
        <x:v>Stop progression and expose fault</x:v>
      </x:c>
      <x:c r="F11" s="25" t="str">
        <x:v>Frozen</x:v>
      </x:c>
    </x:row>
  </x:sheetData>
  <x:mergeCells>
    <x:mergeCell ref="A1:F2"/>
    <x:mergeCell ref="A3:F3"/>
  </x:mergeCells>
  <x:conditionalFormatting sqref="F7:F11">
    <x:cfRule type="containsText" dxfId="15" priority="1" operator="containsText" text="Frozen"/>
    <x:cfRule type="containsText" dxfId="16" priority="2" operator="containsText" text="Implemented"/>
    <x:cfRule type="containsText" dxfId="17" priority="3" operator="containsText" text="Team confirm"/>
    <x:cfRule type="containsText" dxfId="18" priority="4" operator="containsText" text="M3 internal"/>
    <x:cfRule type="containsText" dxfId="19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7a5ae4d8134a4d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0" hidden="0" customWidth="1"/>
    <x:col min="3" max="3" width="42.220001220703125" hidden="0" customWidth="1"/>
    <x:col min="4" max="4" width="33.33000183105469" hidden="0" customWidth="1"/>
    <x:col min="5" max="5" width="8.890000343322754" hidden="0" customWidth="1"/>
    <x:col min="6" max="6" width="19.440000534057617" hidden="0" customWidth="1"/>
    <x:col min="7" max="7" width="26.670000076293945" hidden="0" customWidth="1"/>
  </x:cols>
  <x:sheetData>
    <x:row r="1">
      <x:c r="A1" s="48" t="str">
        <x:v>Implementation and Merge Checklist</x:v>
      </x:c>
      <x:c r="B1" s="48" t="str">
        <x:v>Implementation and Merge Checklist</x:v>
      </x:c>
      <x:c r="C1" s="48" t="str">
        <x:v>Implementation and Merge Checklist</x:v>
      </x:c>
      <x:c r="D1" s="48" t="str">
        <x:v>Implementation and Merge Checklist</x:v>
      </x:c>
      <x:c r="E1" s="48" t="str">
        <x:v>Implementation and Merge Checklist</x:v>
      </x:c>
      <x:c r="F1" s="48" t="str">
        <x:v>Implementation and Merge Checklist</x:v>
      </x:c>
      <x:c r="G1" s="48" t="str">
        <x:v>Implementation and Merge Checklist</x:v>
      </x:c>
    </x:row>
    <x:row r="2">
      <x:c r="A2" s="48" t="str">
        <x:v>Implementation and Merge Checklist</x:v>
      </x:c>
      <x:c r="B2" s="48" t="str">
        <x:v>Implementation and Merge Checklist</x:v>
      </x:c>
      <x:c r="C2" s="48" t="str">
        <x:v>Implementation and Merge Checklist</x:v>
      </x:c>
      <x:c r="D2" s="48" t="str">
        <x:v>Implementation and Merge Checklist</x:v>
      </x:c>
      <x:c r="E2" s="48" t="str">
        <x:v>Implementation and Merge Checklist</x:v>
      </x:c>
      <x:c r="F2" s="48" t="str">
        <x:v>Implementation and Merge Checklist</x:v>
      </x:c>
      <x:c r="G2" s="48" t="str">
        <x:v>Implementation and Merge Checklist</x:v>
      </x:c>
    </x:row>
    <x:row r="3">
      <x:c r="A3" s="49" t="str">
        <x:v>Receiver-side contract is frozen; each owner implements and tests the listed mapping before merge</x:v>
      </x:c>
      <x:c r="B3" s="49" t="str">
        <x:v>Receiver-side contract is frozen; each owner implements and tests the listed mapping before merge</x:v>
      </x:c>
      <x:c r="C3" s="49" t="str">
        <x:v>Receiver-side contract is frozen; each owner implements and tests the listed mapping before merge</x:v>
      </x:c>
      <x:c r="D3" s="49" t="str">
        <x:v>Receiver-side contract is frozen; each owner implements and tests the listed mapping before merge</x:v>
      </x:c>
      <x:c r="E3" s="49" t="str">
        <x:v>Receiver-side contract is frozen; each owner implements and tests the listed mapping before merge</x:v>
      </x:c>
      <x:c r="F3" s="49" t="str">
        <x:v>Receiver-side contract is frozen; each owner implements and tests the listed mapping before merge</x:v>
      </x:c>
      <x:c r="G3" s="49" t="str">
        <x:v>Receiver-side contract is frozen; each owner implements and tests the listed mapping before merge</x:v>
      </x:c>
    </x:row>
    <x:row r="4">
      <x:c r="A4" s="50"/>
      <x:c r="B4" s="50"/>
      <x:c r="C4" s="50"/>
      <x:c r="D4" s="50"/>
      <x:c r="E4" s="50"/>
      <x:c r="F4" s="50"/>
      <x:c r="G4" s="50"/>
    </x:row>
    <x:row r="5">
      <x:c r="A5" s="50"/>
      <x:c r="B5" s="50"/>
      <x:c r="C5" s="50"/>
      <x:c r="D5" s="50"/>
      <x:c r="E5" s="50"/>
      <x:c r="F5" s="50"/>
      <x:c r="G5" s="50"/>
    </x:row>
    <x:row r="6">
      <x:c r="A6" s="52" t="str">
        <x:v>ID</x:v>
      </x:c>
      <x:c r="B6" s="52" t="str">
        <x:v>Owner</x:v>
      </x:c>
      <x:c r="C6" s="52" t="str">
        <x:v>Action</x:v>
      </x:c>
      <x:c r="D6" s="52" t="str">
        <x:v>Required Evidence</x:v>
      </x:c>
      <x:c r="E6" s="52" t="str">
        <x:v>Blocking</x:v>
      </x:c>
      <x:c r="F6" s="52" t="str">
        <x:v>State</x:v>
      </x:c>
      <x:c r="G6" s="52" t="str">
        <x:v>Notes / Response</x:v>
      </x:c>
    </x:row>
    <x:row r="7" ht="49.5" customHeight="1">
      <x:c r="A7" s="23" t="str">
        <x:v>CHK-01</x:v>
      </x:c>
      <x:c r="B7" s="23" t="str">
        <x:v>M1</x:v>
      </x:c>
      <x:c r="C7" s="23" t="str">
        <x:v>Map TRANSPORT_STATUS_REQUEST to M3 port 11003 and receive TRANSPORT_STATUS on M1 port 11001</x:v>
      </x:c>
      <x:c r="D7" s="23" t="str">
        <x:v>Coordinator XML mapping + status poll trace</x:v>
      </x:c>
      <x:c r="E7" s="23" t="str">
        <x:v>Yes</x:v>
      </x:c>
      <x:c r="F7" s="23" t="str">
        <x:v>Required implementation</x:v>
      </x:c>
      <x:c r="G7" s="23" t="str">
        <x:v>Copy from Markdown contract</x:v>
      </x:c>
    </x:row>
    <x:row r="8" ht="49.5" customHeight="1">
      <x:c r="A8" s="24" t="str">
        <x:v>CHK-02</x:v>
      </x:c>
      <x:c r="B8" s="24" t="str">
        <x:v>M1</x:v>
      </x:c>
      <x:c r="C8" s="24" t="str">
        <x:v>Map LID_STATUS_REQUEST to M3 port 11006 and receive LID_STATUS on M1 port 11001</x:v>
      </x:c>
      <x:c r="D8" s="24" t="str">
        <x:v>Coordinator XML mapping + status poll trace</x:v>
      </x:c>
      <x:c r="E8" s="24" t="str">
        <x:v>Yes</x:v>
      </x:c>
      <x:c r="F8" s="24" t="str">
        <x:v>Required implementation</x:v>
      </x:c>
      <x:c r="G8" s="24" t="str">
        <x:v>Copy from Markdown contract</x:v>
      </x:c>
    </x:row>
    <x:row r="9" ht="49.5" customHeight="1">
      <x:c r="A9" s="24" t="str">
        <x:v>CHK-03</x:v>
      </x:c>
      <x:c r="B9" s="24" t="str">
        <x:v>M2</x:v>
      </x:c>
      <x:c r="C9" s="24" t="str">
        <x:v>Implement LOAD_BOTTLE: String to RotaryTablePlantCD port 12003</x:v>
      </x:c>
      <x:c r="D9" s="24" t="str">
        <x:v>Signal declaration and one successful bottle-ID trace</x:v>
      </x:c>
      <x:c r="E9" s="24" t="str">
        <x:v>Yes</x:v>
      </x:c>
      <x:c r="F9" s="24" t="str">
        <x:v>Required implementation</x:v>
      </x:c>
      <x:c r="G9" s="24" t="str">
        <x:v>Use a non-empty unique bottle ID</x:v>
      </x:c>
    </x:row>
    <x:row r="10" ht="49.5" customHeight="1">
      <x:c r="A10" s="24" t="str">
        <x:v>CHK-04</x:v>
      </x:c>
      <x:c r="B10" s="24" t="str">
        <x:v>M2</x:v>
      </x:c>
      <x:c r="C10" s="24" t="str">
        <x:v>Implement REMOVE_BOTTLE to RotaryTablePlantCD port 12003</x:v>
      </x:c>
      <x:c r="D10" s="24" t="str">
        <x:v>Signal declaration and position-5 removal trace</x:v>
      </x:c>
      <x:c r="E10" s="24" t="str">
        <x:v>Yes</x:v>
      </x:c>
      <x:c r="F10" s="24" t="str">
        <x:v>Required implementation</x:v>
      </x:c>
      <x:c r="G10" s="24" t="str"/>
    </x:row>
    <x:row r="11" ht="49.5" customHeight="1">
      <x:c r="A11" s="24" t="str">
        <x:v>CHK-05</x:v>
      </x:c>
      <x:c r="B11" s="24" t="str">
        <x:v>M4</x:v>
      </x:c>
      <x:c r="C11" s="24" t="str">
        <x:v>Implement MARK_FILLED to RotaryTablePlantCD port 12003</x:v>
      </x:c>
      <x:c r="D11" s="24" t="str">
        <x:v>Signal declaration and exactly-once completion trace</x:v>
      </x:c>
      <x:c r="E11" s="24" t="str">
        <x:v>Yes</x:v>
      </x:c>
      <x:c r="F11" s="24" t="str">
        <x:v>Required implementation</x:v>
      </x:c>
      <x:c r="G11" s="24" t="str"/>
    </x:row>
    <x:row r="12" ht="49.5" customHeight="1">
      <x:c r="A12" s="24" t="str">
        <x:v>CHK-06</x:v>
      </x:c>
      <x:c r="B12" s="24" t="str">
        <x:v>M4</x:v>
      </x:c>
      <x:c r="C12" s="24" t="str">
        <x:v>Implement MARK_CAPPED to RotaryTablePlantCD port 12003</x:v>
      </x:c>
      <x:c r="D12" s="24" t="str">
        <x:v>Signal declaration and exactly-once completion trace</x:v>
      </x:c>
      <x:c r="E12" s="24" t="str">
        <x:v>Yes</x:v>
      </x:c>
      <x:c r="F12" s="24" t="str">
        <x:v>Required implementation</x:v>
      </x:c>
      <x:c r="G12" s="24" t="str"/>
    </x:row>
    <x:row r="13" ht="49.5" customHeight="1">
      <x:c r="A13" s="24" t="str">
        <x:v>CHK-07</x:v>
      </x:c>
      <x:c r="B13" s="24" t="str">
        <x:v>M2 / M4</x:v>
      </x:c>
      <x:c r="C13" s="24" t="str">
        <x:v>Do not emit ROTATE_REQUEST or bind M3 receiver ports</x:v>
      </x:c>
      <x:c r="D13" s="24" t="str">
        <x:v>XML review finds one M3 rotation authority</x:v>
      </x:c>
      <x:c r="E13" s="24" t="str">
        <x:v>Yes</x:v>
      </x:c>
      <x:c r="F13" s="24" t="str">
        <x:v>Required constraint</x:v>
      </x:c>
      <x:c r="G13" s="24" t="str">
        <x:v>M3 owns rotation scheduling</x:v>
      </x:c>
    </x:row>
    <x:row r="14" ht="49.5" customHeight="1">
      <x:c r="A14" s="24" t="str">
        <x:v>CHK-08</x:v>
      </x:c>
      <x:c r="B14" s="24" t="str">
        <x:v>M3</x:v>
      </x:c>
      <x:c r="C14" s="24" t="str">
        <x:v>Wire the production rotation sequence and publish XML with final host IP addresses</x:v>
      </x:c>
      <x:c r="D14" s="24" t="str">
        <x:v>Single ROTATE_REQUEST source; committed XML parses and starts</x:v>
      </x:c>
      <x:c r="E14" s="24" t="str">
        <x:v>Yes</x:v>
      </x:c>
      <x:c r="F14" s="24" t="str">
        <x:v>Not started</x:v>
      </x:c>
      <x:c r="G14" s="24" t="str">
        <x:v>Demo path works; complete after host assignment</x:v>
      </x:c>
    </x:row>
    <x:row r="15" ht="49.5" customHeight="1">
      <x:c r="A15" s="24" t="str">
        <x:v>CHK-09</x:v>
      </x:c>
      <x:c r="B15" s="24" t="str">
        <x:v>M3</x:v>
      </x:c>
      <x:c r="C15" s="24" t="str">
        <x:v>Rerun SystemJ compile and Java 8 compile after integration</x:v>
      </x:c>
      <x:c r="D15" s="24" t="str">
        <x:v>Zero compiler errors</x:v>
      </x:c>
      <x:c r="E15" s="24" t="str">
        <x:v>Yes</x:v>
      </x:c>
      <x:c r="F15" s="24" t="str">
        <x:v>Completed locally</x:v>
      </x:c>
      <x:c r="G15" s="24" t="str">
        <x:v>Repeat after merge</x:v>
      </x:c>
    </x:row>
    <x:row r="16" ht="49.5" customHeight="1">
      <x:c r="A16" s="24" t="str">
        <x:v>CHK-10</x:v>
      </x:c>
      <x:c r="B16" s="24" t="str">
        <x:v>All</x:v>
      </x:c>
      <x:c r="C16" s="24" t="str">
        <x:v>Run end-to-end load, rotate, fill, lid, cap, unload scenario</x:v>
      </x:c>
      <x:c r="D16" s="24" t="str">
        <x:v>Timestamped console trace and GUI demonstration</x:v>
      </x:c>
      <x:c r="E16" s="24" t="str">
        <x:v>Yes</x:v>
      </x:c>
      <x:c r="F16" s="24" t="str">
        <x:v>Completed M3 localhost demo</x:v>
      </x:c>
      <x:c r="G16" s="24" t="str">
        <x:v>Repeat with all member CDs</x:v>
      </x:c>
    </x:row>
    <x:row r="17" ht="49.5" customHeight="1">
      <x:c r="A17" s="25" t="str">
        <x:v>CHK-11</x:v>
      </x:c>
      <x:c r="B17" s="25" t="str">
        <x:v>All</x:v>
      </x:c>
      <x:c r="C17" s="25" t="str">
        <x:v>Record any interface change in a new version</x:v>
      </x:c>
      <x:c r="D17" s="25" t="str">
        <x:v>Updated workbook/Markdown and group acknowledgement</x:v>
      </x:c>
      <x:c r="E17" s="25" t="str">
        <x:v>Yes</x:v>
      </x:c>
      <x:c r="F17" s="25" t="str">
        <x:v>Ongoing</x:v>
      </x:c>
      <x:c r="G17" s="25" t="str">
        <x:v>Do not silently rename signals</x:v>
      </x:c>
    </x:row>
  </x:sheetData>
  <x:mergeCells>
    <x:mergeCell ref="A1:G2"/>
    <x:mergeCell ref="A3:G3"/>
  </x:mergeCells>
  <x:conditionalFormatting sqref="F7:F17">
    <x:cfRule type="containsText" dxfId="20" priority="1" operator="containsText" text="Complete"/>
    <x:cfRule type="containsText" dxfId="21" priority="2" operator="containsText" text="Required"/>
    <x:cfRule type="containsText" dxfId="22" priority="3" operator="containsText" text="Blocked"/>
    <x:cfRule type="containsText" dxfId="23" priority="4" operator="containsText" text="Not started"/>
  </x:conditionalFormatting>
  <x:dataValidations count="1">
    <x:dataValidation type="list" sqref="F7:F17">
      <x:formula1>"Required implementation,Required constraint,Not started,In progress,Completed locally,Complete,Blocked,Ongoing"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120f02bbc45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4.4399995803833" hidden="0" customWidth="1"/>
    <x:col min="3" max="3" width="32.220001220703125" hidden="0" customWidth="1"/>
    <x:col min="4" max="4" width="22.219999313354492" hidden="0" customWidth="1"/>
    <x:col min="5" max="5" width="27.780000686645508" hidden="0" customWidth="1"/>
    <x:col min="6" max="6" width="10" hidden="0" customWidth="1"/>
    <x:col min="7" max="7" width="35.560001373291016" hidden="0" customWidth="1"/>
  </x:cols>
  <x:sheetData>
    <x:row r="1">
      <x:c r="A1" s="48" t="str">
        <x:v>M3 Verification Evidence</x:v>
      </x:c>
      <x:c r="B1" s="48" t="str">
        <x:v>M3 Verification Evidence</x:v>
      </x:c>
      <x:c r="C1" s="48" t="str">
        <x:v>M3 Verification Evidence</x:v>
      </x:c>
      <x:c r="D1" s="48" t="str">
        <x:v>M3 Verification Evidence</x:v>
      </x:c>
      <x:c r="E1" s="48" t="str">
        <x:v>M3 Verification Evidence</x:v>
      </x:c>
      <x:c r="F1" s="48" t="str">
        <x:v>M3 Verification Evidence</x:v>
      </x:c>
      <x:c r="G1" s="48" t="str">
        <x:v>M3 Verification Evidence</x:v>
      </x:c>
    </x:row>
    <x:row r="2">
      <x:c r="A2" s="48" t="str">
        <x:v>M3 Verification Evidence</x:v>
      </x:c>
      <x:c r="B2" s="48" t="str">
        <x:v>M3 Verification Evidence</x:v>
      </x:c>
      <x:c r="C2" s="48" t="str">
        <x:v>M3 Verification Evidence</x:v>
      </x:c>
      <x:c r="D2" s="48" t="str">
        <x:v>M3 Verification Evidence</x:v>
      </x:c>
      <x:c r="E2" s="48" t="str">
        <x:v>M3 Verification Evidence</x:v>
      </x:c>
      <x:c r="F2" s="48" t="str">
        <x:v>M3 Verification Evidence</x:v>
      </x:c>
      <x:c r="G2" s="48" t="str">
        <x:v>M3 Verification Evidence</x:v>
      </x:c>
    </x:row>
    <x:row r="3">
      <x:c r="A3" s="49" t="str">
        <x:v>Local evidence recorded before cross-member integration; rerun the same checks after the final merge</x:v>
      </x:c>
      <x:c r="B3" s="49" t="str">
        <x:v>Local evidence recorded before cross-member integration; rerun the same checks after the final merge</x:v>
      </x:c>
      <x:c r="C3" s="49" t="str">
        <x:v>Local evidence recorded before cross-member integration; rerun the same checks after the final merge</x:v>
      </x:c>
      <x:c r="D3" s="49" t="str">
        <x:v>Local evidence recorded before cross-member integration; rerun the same checks after the final merge</x:v>
      </x:c>
      <x:c r="E3" s="49" t="str">
        <x:v>Local evidence recorded before cross-member integration; rerun the same checks after the final merge</x:v>
      </x:c>
      <x:c r="F3" s="49" t="str">
        <x:v>Local evidence recorded before cross-member integration; rerun the same checks after the final merge</x:v>
      </x:c>
      <x:c r="G3" s="49" t="str">
        <x:v>Local evidence recorded before cross-member integration; rerun the same checks after the final merge</x:v>
      </x:c>
    </x:row>
    <x:row r="4">
      <x:c r="A4" s="50"/>
      <x:c r="B4" s="50"/>
      <x:c r="C4" s="50"/>
      <x:c r="D4" s="50"/>
      <x:c r="E4" s="50"/>
      <x:c r="F4" s="50"/>
      <x:c r="G4" s="50"/>
    </x:row>
    <x:row r="5">
      <x:c r="A5" s="50"/>
      <x:c r="B5" s="50"/>
      <x:c r="C5" s="50"/>
      <x:c r="D5" s="50"/>
      <x:c r="E5" s="50"/>
      <x:c r="F5" s="50"/>
      <x:c r="G5" s="50"/>
    </x:row>
    <x:row r="6">
      <x:c r="A6" s="52" t="str">
        <x:v>ID</x:v>
      </x:c>
      <x:c r="B6" s="52" t="str">
        <x:v>Layer</x:v>
      </x:c>
      <x:c r="C6" s="52" t="str">
        <x:v>Verification</x:v>
      </x:c>
      <x:c r="D6" s="52" t="str">
        <x:v>Tool / Runtime</x:v>
      </x:c>
      <x:c r="E6" s="52" t="str">
        <x:v>Expected</x:v>
      </x:c>
      <x:c r="F6" s="52" t="str">
        <x:v>Result</x:v>
      </x:c>
      <x:c r="G6" s="52" t="str">
        <x:v>Notes</x:v>
      </x:c>
    </x:row>
    <x:row r="7" ht="43.5" customHeight="1">
      <x:c r="A7" s="23" t="str">
        <x:v>T-01</x:v>
      </x:c>
      <x:c r="B7" s="23" t="str">
        <x:v>SystemJ source</x:v>
      </x:c>
      <x:c r="C7" s="23" t="str">
        <x:v>Compile all five .sysj programs</x:v>
      </x:c>
      <x:c r="D7" s="23" t="str">
        <x:v>Course JavaPrettyPrinter</x:v>
      </x:c>
      <x:c r="E7" s="23" t="str">
        <x:v>No compiler errors</x:v>
      </x:c>
      <x:c r="F7" s="23" t="str">
        <x:v>PASS</x:v>
      </x:c>
      <x:c r="G7" s="23" t="str">
        <x:v>Transport, rotary plant, lid controller, lid plant and demo driver</x:v>
      </x:c>
    </x:row>
    <x:row r="8" ht="43.5" customHeight="1">
      <x:c r="A8" s="24" t="str">
        <x:v>T-02</x:v>
      </x:c>
      <x:c r="B8" s="24" t="str">
        <x:v>Generated Java</x:v>
      </x:c>
      <x:c r="C8" s="24" t="str">
        <x:v>Compile generated Java</x:v>
      </x:c>
      <x:c r="D8" s="24" t="str">
        <x:v>javac --release 8</x:v>
      </x:c>
      <x:c r="E8" s="24" t="str">
        <x:v>No compiler errors</x:v>
      </x:c>
      <x:c r="F8" s="24" t="str">
        <x:v>PASS</x:v>
      </x:c>
      <x:c r="G8" s="24" t="str">
        <x:v>Confirms Java 8 compatibility</x:v>
      </x:c>
    </x:row>
    <x:row r="9" ht="43.5" customHeight="1">
      <x:c r="A9" s="24" t="str">
        <x:v>T-03</x:v>
      </x:c>
      <x:c r="B9" s="24" t="str">
        <x:v>Controller models</x:v>
      </x:c>
      <x:c r="C9" s="24" t="str">
        <x:v>Run controller state-machine self-test</x:v>
      </x:c>
      <x:c r="D9" s="24" t="str">
        <x:v>Member3ControllerSelfTest</x:v>
      </x:c>
      <x:c r="E9" s="24" t="str">
        <x:v>All assertions pass</x:v>
      </x:c>
      <x:c r="F9" s="24" t="str">
        <x:v>PASS</x:v>
      </x:c>
      <x:c r="G9" s="24" t="str">
        <x:v>Covers status polling, timing, interlocks and faults</x:v>
      </x:c>
    </x:row>
    <x:row r="10" ht="43.5" customHeight="1">
      <x:c r="A10" s="24" t="str">
        <x:v>T-04</x:v>
      </x:c>
      <x:c r="B10" s="24" t="str">
        <x:v>Plant models</x:v>
      </x:c>
      <x:c r="C10" s="24" t="str">
        <x:v>Run plant state self-test</x:v>
      </x:c>
      <x:c r="D10" s="24" t="str">
        <x:v>Member3PlantSelfTest</x:v>
      </x:c>
      <x:c r="E10" s="24" t="str">
        <x:v>All assertions pass</x:v>
      </x:c>
      <x:c r="F10" s="24" t="str">
        <x:v>PASS</x:v>
      </x:c>
      <x:c r="G10" s="24" t="str">
        <x:v>Covers six positions, lid inventory and sensor faults</x:v>
      </x:c>
    </x:row>
    <x:row r="11" ht="43.5" customHeight="1">
      <x:c r="A11" s="24" t="str">
        <x:v>T-05</x:v>
      </x:c>
      <x:c r="B11" s="24" t="str">
        <x:v>Configuration</x:v>
      </x:c>
      <x:c r="C11" s="24" t="str">
        <x:v>Parse all six XML files</x:v>
      </x:c>
      <x:c r="D11" s="24" t="str">
        <x:v>XML parser</x:v>
      </x:c>
      <x:c r="E11" s="24" t="str">
        <x:v>All files well formed</x:v>
      </x:c>
      <x:c r="F11" s="24" t="str">
        <x:v>PASS</x:v>
      </x:c>
      <x:c r="G11" s="24" t="str">
        <x:v>Includes canonical system and demo configuration</x:v>
      </x:c>
    </x:row>
    <x:row r="12" ht="43.5" customHeight="1">
      <x:c r="A12" s="25" t="str">
        <x:v>T-06</x:v>
      </x:c>
      <x:c r="B12" s="25" t="str">
        <x:v>End-to-end</x:v>
      </x:c>
      <x:c r="C12" s="25" t="str">
        <x:v>Run localhost SystemJ bottle scenario</x:v>
      </x:c>
      <x:c r="D12" s="25" t="str">
        <x:v>Actual SystemJ runtime</x:v>
      </x:c>
      <x:c r="E12" s="25" t="str">
        <x:v>Load -&gt; rotate -&gt; fill -&gt; lid -&gt; cap -&gt; unload</x:v>
      </x:c>
      <x:c r="F12" s="25" t="str">
        <x:v>PASS</x:v>
      </x:c>
      <x:c r="G12" s="25" t="str">
        <x:v>Completed without residual processes or bound ports</x:v>
      </x:c>
    </x:row>
  </x:sheetData>
  <x:mergeCells>
    <x:mergeCell ref="A1:G2"/>
    <x:mergeCell ref="A3:G3"/>
  </x:mergeCells>
  <x:conditionalFormatting sqref="F7:F12">
    <x:cfRule type="containsText" dxfId="24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0b70d2d733e54f5f"/>
  </x:tableParts>
</x:worksheet>
</file>